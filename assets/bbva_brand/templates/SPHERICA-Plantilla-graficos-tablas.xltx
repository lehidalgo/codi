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6.xml" ContentType="application/vnd.openxmlformats-officedocument.drawing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/>
  <mc:AlternateContent xmlns:mc="http://schemas.openxmlformats.org/markup-compatibility/2006">
    <mc:Choice Requires="x15">
      <x15ac:absPath xmlns:x15ac="http://schemas.microsoft.com/office/spreadsheetml/2010/11/ac" url="C:\Users\E045433\Documents\0. PROYECTOS\PR250017 - Assets 2025\0. Graficos y tablas\"/>
    </mc:Choice>
  </mc:AlternateContent>
  <xr:revisionPtr revIDLastSave="0" documentId="13_ncr:1_{DBB84F34-DCF1-4D49-BBCB-16A6C32CF4DD}" xr6:coauthVersionLast="36" xr6:coauthVersionMax="36" xr10:uidLastSave="{00000000-0000-0000-0000-000000000000}"/>
  <bookViews>
    <workbookView xWindow="0" yWindow="0" windowWidth="15630" windowHeight="7440" xr2:uid="{00000000-000D-0000-FFFF-FFFF00000000}"/>
  </bookViews>
  <sheets>
    <sheet name="Uso plantilla" sheetId="1" r:id="rId1"/>
    <sheet name="Tablas" sheetId="2" r:id="rId2"/>
    <sheet name="Graf. Anillas" sheetId="3" r:id="rId3"/>
    <sheet name="Graf. Colum." sheetId="4" r:id="rId4"/>
    <sheet name="Graf. líneas" sheetId="5" r:id="rId5"/>
    <sheet name="Graf. Barras" sheetId="6" r:id="rId6"/>
    <sheet name="Otros gráficos" sheetId="7" r:id="rId7"/>
  </sheets>
  <definedNames>
    <definedName name="_xlchart.v1.0" hidden="1">'Graf. Colum.'!$M$47:$M$52</definedName>
    <definedName name="_xlchart.v1.1" hidden="1">'Graf. Colum.'!$N$47:$N$52</definedName>
  </definedNames>
  <calcPr calcId="191029"/>
</workbook>
</file>

<file path=xl/calcChain.xml><?xml version="1.0" encoding="utf-8"?>
<calcChain xmlns="http://schemas.openxmlformats.org/spreadsheetml/2006/main">
  <c r="G92" i="7" l="1"/>
  <c r="G93" i="7"/>
  <c r="G94" i="7"/>
  <c r="G95" i="7"/>
  <c r="G96" i="7"/>
  <c r="G91" i="7"/>
  <c r="D92" i="7"/>
  <c r="D93" i="7"/>
  <c r="D94" i="7"/>
  <c r="D95" i="7"/>
  <c r="D96" i="7"/>
  <c r="D91" i="7"/>
  <c r="D118" i="7"/>
  <c r="D119" i="7"/>
  <c r="D120" i="7"/>
  <c r="D121" i="7"/>
  <c r="D122" i="7"/>
  <c r="D123" i="7"/>
  <c r="D124" i="7"/>
  <c r="D125" i="7"/>
  <c r="D126" i="7"/>
  <c r="D127" i="7"/>
  <c r="D117" i="7"/>
  <c r="F44" i="7" l="1"/>
  <c r="F45" i="7"/>
  <c r="F46" i="7"/>
  <c r="F47" i="7"/>
  <c r="F48" i="7"/>
  <c r="F43" i="7"/>
  <c r="D44" i="7"/>
  <c r="D45" i="7"/>
  <c r="D46" i="7"/>
  <c r="D47" i="7"/>
  <c r="D48" i="7"/>
  <c r="D43" i="7"/>
  <c r="D155" i="7" l="1"/>
  <c r="D154" i="7"/>
  <c r="D153" i="7"/>
  <c r="D152" i="7"/>
  <c r="D151" i="7"/>
  <c r="D150" i="7"/>
  <c r="D149" i="7"/>
  <c r="D148" i="7"/>
  <c r="D147" i="7"/>
  <c r="D146" i="7"/>
  <c r="D145" i="7"/>
  <c r="D144" i="7"/>
  <c r="D143" i="7"/>
  <c r="D142" i="7"/>
  <c r="D141" i="7"/>
  <c r="D140" i="7"/>
  <c r="N48" i="4"/>
  <c r="Z57" i="2"/>
  <c r="Y57" i="2"/>
  <c r="W57" i="2"/>
  <c r="V57" i="2"/>
  <c r="U57" i="2"/>
  <c r="Z54" i="2"/>
  <c r="Y54" i="2"/>
  <c r="W54" i="2"/>
  <c r="V54" i="2"/>
  <c r="U54" i="2"/>
  <c r="Z52" i="2"/>
  <c r="Z60" i="2" s="1"/>
  <c r="Y52" i="2"/>
  <c r="Y60" i="2" s="1"/>
  <c r="W52" i="2"/>
  <c r="W60" i="2" s="1"/>
  <c r="V52" i="2"/>
  <c r="V60" i="2" s="1"/>
  <c r="U52" i="2"/>
  <c r="U60" i="2" s="1"/>
  <c r="P37" i="2"/>
  <c r="O37" i="2"/>
  <c r="N37" i="2"/>
  <c r="Q34" i="2"/>
  <c r="P34" i="2"/>
  <c r="O34" i="2"/>
  <c r="N34" i="2"/>
  <c r="Q30" i="2"/>
  <c r="Q37" i="2" s="1"/>
  <c r="P30" i="2"/>
  <c r="O30" i="2"/>
  <c r="N30" i="2"/>
  <c r="Q25" i="2"/>
  <c r="P25" i="2"/>
  <c r="O25" i="2"/>
  <c r="N25" i="2"/>
</calcChain>
</file>

<file path=xl/sharedStrings.xml><?xml version="1.0" encoding="utf-8"?>
<sst xmlns="http://schemas.openxmlformats.org/spreadsheetml/2006/main" count="567" uniqueCount="195">
  <si>
    <t>Esta plantilla ya tiene configurados los colores corporativos, es por ello que recomendamos que todos vuestros proyectos nuevos se comiencen a partir de esta plantilla (realizando una copia del archivo y renombrando).</t>
  </si>
  <si>
    <t xml:space="preserve">  </t>
  </si>
  <si>
    <t>TABLA DE 1 NIVEL DE CABECERA</t>
  </si>
  <si>
    <t>MONTH</t>
  </si>
  <si>
    <t>YYYY ACUM</t>
  </si>
  <si>
    <t>BUDGET ACUM</t>
  </si>
  <si>
    <t>YOY XX CONSTANT</t>
  </si>
  <si>
    <t>YOY XX CURRENT</t>
  </si>
  <si>
    <t>BUDGET COMPL</t>
  </si>
  <si>
    <t>Spain</t>
  </si>
  <si>
    <t>0.0</t>
  </si>
  <si>
    <t>Portugal</t>
  </si>
  <si>
    <t>Mexico</t>
  </si>
  <si>
    <t>Argentina</t>
  </si>
  <si>
    <t>Chile</t>
  </si>
  <si>
    <t>Colombia</t>
  </si>
  <si>
    <t>Perú</t>
  </si>
  <si>
    <t>Turkey</t>
  </si>
  <si>
    <t>Uruguay</t>
  </si>
  <si>
    <t>Total</t>
  </si>
  <si>
    <t>00.0</t>
  </si>
  <si>
    <t>TABLA DE 1 NIVEL DE CABECERA CON SUBTOTALES</t>
  </si>
  <si>
    <t>TITULO TABLA/ COL.</t>
  </si>
  <si>
    <t>COL. 1</t>
  </si>
  <si>
    <t>Subtotal filas 1-4</t>
  </si>
  <si>
    <t>Fila 1</t>
  </si>
  <si>
    <t>Fila 2</t>
  </si>
  <si>
    <t>Fila 3</t>
  </si>
  <si>
    <t>Fila 4</t>
  </si>
  <si>
    <t>Subtotal 5-7</t>
  </si>
  <si>
    <t>Fila 5</t>
  </si>
  <si>
    <t>Fila 6</t>
  </si>
  <si>
    <t>Fila 7</t>
  </si>
  <si>
    <t>Subtotal filas 8-9</t>
  </si>
  <si>
    <t>Fila 8</t>
  </si>
  <si>
    <t>Fila 9</t>
  </si>
  <si>
    <t>TABLAS DE 2 NIVELES DE CABECERA</t>
  </si>
  <si>
    <t>Nivel 1</t>
  </si>
  <si>
    <t>dos lineas</t>
  </si>
  <si>
    <t>Nivel 2</t>
  </si>
  <si>
    <t>Subtotal 2</t>
  </si>
  <si>
    <t>Subtotal filas 6-7</t>
  </si>
  <si>
    <t>TABLAS DE 3 NIVELES DE CABECERA</t>
  </si>
  <si>
    <t>Nivel 1 - col1</t>
  </si>
  <si>
    <t>Nivel 1 - col2</t>
  </si>
  <si>
    <t>TITULO TABLA / COL.</t>
  </si>
  <si>
    <t>Nivel
3</t>
  </si>
  <si>
    <t>Score</t>
  </si>
  <si>
    <t>Nivel 3 
dos lineas</t>
  </si>
  <si>
    <t>*</t>
  </si>
  <si>
    <t>Fila destacada</t>
  </si>
  <si>
    <t>Subtotal fila 5-6</t>
  </si>
  <si>
    <t>—</t>
  </si>
  <si>
    <t>GRÁFICO  - 2 SERIES</t>
  </si>
  <si>
    <t>GRÁFICO  - 3 SERIES</t>
  </si>
  <si>
    <t>Serie 1</t>
  </si>
  <si>
    <t>Serie 2</t>
  </si>
  <si>
    <t>Serie 3</t>
  </si>
  <si>
    <t>GRÁFICO  - 4 SERIES</t>
  </si>
  <si>
    <t>GRÁFICO  - 5 SERIES</t>
  </si>
  <si>
    <t>Serie 4</t>
  </si>
  <si>
    <t>Serie 5</t>
  </si>
  <si>
    <t>GRÁFICO  - 6 SERIES</t>
  </si>
  <si>
    <t>GRÁFICO  - 8 SERIES</t>
  </si>
  <si>
    <t>Serie 6</t>
  </si>
  <si>
    <t>Serie 7</t>
  </si>
  <si>
    <t>Serie 8</t>
  </si>
  <si>
    <t>GRÁFICO  - 10 SERIES</t>
  </si>
  <si>
    <t>GRÁFICO  - 14 SERIES</t>
  </si>
  <si>
    <t>Serie 9</t>
  </si>
  <si>
    <t>Serie 10</t>
  </si>
  <si>
    <t>Serie 11</t>
  </si>
  <si>
    <t>Serie 12</t>
  </si>
  <si>
    <t>Serie 13</t>
  </si>
  <si>
    <t>Serie 14</t>
  </si>
  <si>
    <t>GRÁFICO 4 COLUMNAS Y MÁS SEPARACIÓN</t>
  </si>
  <si>
    <t>GRÁFICO 4 COLUMNAS Y DOS SERIES</t>
  </si>
  <si>
    <t>Para mayor separación entre columnas es necesario incluir filas con ceros</t>
  </si>
  <si>
    <t>Columna 1</t>
  </si>
  <si>
    <t>Last year</t>
  </si>
  <si>
    <t>This year</t>
  </si>
  <si>
    <t>Categoria 1</t>
  </si>
  <si>
    <t>Columna 2</t>
  </si>
  <si>
    <t>Categoria 2</t>
  </si>
  <si>
    <t>Categoria 3</t>
  </si>
  <si>
    <t>Columna 3</t>
  </si>
  <si>
    <t>Categoria 4</t>
  </si>
  <si>
    <t>Columna 4</t>
  </si>
  <si>
    <t>GRÁFICO 8 COLUMNAS</t>
  </si>
  <si>
    <t>GRÁFICO 8 COLUMNAS Y DOS SERIES</t>
  </si>
  <si>
    <t xml:space="preserve"> </t>
  </si>
  <si>
    <t>Serie A</t>
  </si>
  <si>
    <t>Serie B</t>
  </si>
  <si>
    <t>Area 1</t>
  </si>
  <si>
    <t>Area 2</t>
  </si>
  <si>
    <t>Area 3</t>
  </si>
  <si>
    <t>Area 4</t>
  </si>
  <si>
    <t>Area 5</t>
  </si>
  <si>
    <t>Area 6</t>
  </si>
  <si>
    <t>Area 7</t>
  </si>
  <si>
    <t>Area 8</t>
  </si>
  <si>
    <t>GRÁFICO 8 COLUMNAS CON DOS DESTACADAS</t>
  </si>
  <si>
    <t>GRÁFICO COLUMNAS WATERFALL</t>
  </si>
  <si>
    <t>Average</t>
  </si>
  <si>
    <t>Target</t>
  </si>
  <si>
    <t>GRÁFICO 2 COLUMNAS APILADAS CON 4 SERIES Y MAS SEPARACIÓN</t>
  </si>
  <si>
    <t>GRÁFICO 2 COLUMNAS APILADAS CON 8 SERIES Y MÁS SEPARACIÓN</t>
  </si>
  <si>
    <t>2010</t>
  </si>
  <si>
    <t>2012</t>
  </si>
  <si>
    <t>GRÁFICO 2 COLUMNAS APILADAS CON 10 SERIES</t>
  </si>
  <si>
    <t>GRÁFICO 2 COLUMNAS APILADAS CON 15 SERIES</t>
  </si>
  <si>
    <t>Serie 15</t>
  </si>
  <si>
    <t>GRÁFICO LÍNEAS DE 3 SERIES</t>
  </si>
  <si>
    <t>GRÁFICO LÍNEAS DE 1 SERIES</t>
  </si>
  <si>
    <t>GRÁFICO LÍNEAS DE 2 SERIES</t>
  </si>
  <si>
    <t>2T15</t>
  </si>
  <si>
    <t>3T15</t>
  </si>
  <si>
    <t>4T15</t>
  </si>
  <si>
    <t>1T16</t>
  </si>
  <si>
    <t>2T16</t>
  </si>
  <si>
    <t>GRÁFICO LÍNEAS DE 4 SERIES</t>
  </si>
  <si>
    <t>GRÁFICO LÍNEAS DE 6 SERIES</t>
  </si>
  <si>
    <t>GRÁFICO LÍNEAS DE 7SERIES</t>
  </si>
  <si>
    <t>GRÁFICO LÍNEAS DE 9 SERIES</t>
  </si>
  <si>
    <t>GRÁFICO LÍNEAS DE 10 SERIES</t>
  </si>
  <si>
    <t>GRÁFICO BARRAS CON 3 SERIES Y SEPARACIÓN</t>
  </si>
  <si>
    <t>GRÁFICO BARRAS CON 3 SERIES Y 8 FILAS</t>
  </si>
  <si>
    <t>Categoría 3</t>
  </si>
  <si>
    <t>Categoria 5</t>
  </si>
  <si>
    <t>Categoria 6</t>
  </si>
  <si>
    <t>Categoria 7</t>
  </si>
  <si>
    <t>Categoria 8</t>
  </si>
  <si>
    <t>GRÁFICO BARRAS CON 2SERIES SIN APILAR Y 4 FILAS</t>
  </si>
  <si>
    <t>GRÁFICO BARRAS CON 3 SERIES Y 8 FILAS AL 100%</t>
  </si>
  <si>
    <t>GRÁFICO BARRAS CON 3 SERIES SIN APILAR Y 4 FILAS</t>
  </si>
  <si>
    <t>GRÁFICO BARRAS APILADAS CON 10 SERIES Y 15 FILAS</t>
  </si>
  <si>
    <t>Categoria 9</t>
  </si>
  <si>
    <t>Categoria 10</t>
  </si>
  <si>
    <t>Categoria 11</t>
  </si>
  <si>
    <t>Categoria 12</t>
  </si>
  <si>
    <t>Categoria 13</t>
  </si>
  <si>
    <t>Categoria 14</t>
  </si>
  <si>
    <t>Categoria 15</t>
  </si>
  <si>
    <t>GRÁFICO BARRAS APILADAS CON 10 SERIES Y 15 FILAS AL 100%</t>
  </si>
  <si>
    <t>GRÁFICO COMBINADO COLUMNAS Y LINEAS DOS EJES</t>
  </si>
  <si>
    <t>GRÁFICO COMBINADO COLUMNAS AGRUPADAS Y LINEAS MISMO EJE</t>
  </si>
  <si>
    <t>Customers</t>
  </si>
  <si>
    <t>Penetration</t>
  </si>
  <si>
    <t>Tipos de interés (BCE y Fed)</t>
  </si>
  <si>
    <t>Precio del petróleo</t>
  </si>
  <si>
    <t>Precio del gas</t>
  </si>
  <si>
    <t>Otros</t>
  </si>
  <si>
    <t>2Q15</t>
  </si>
  <si>
    <t>3Q15</t>
  </si>
  <si>
    <t>4Q15</t>
  </si>
  <si>
    <t>GRÁFICO ÁREAS DE 1 Y DOS SERIES</t>
  </si>
  <si>
    <t>GRÁFICO VELA</t>
  </si>
  <si>
    <t>GRÁFICO COMBINADO LINEAS Y AREAS</t>
  </si>
  <si>
    <t>.</t>
  </si>
  <si>
    <t>GRÁFICO COMBINADO COLUMNAS Y LINEAS CON AREA</t>
  </si>
  <si>
    <t>Pais</t>
  </si>
  <si>
    <t>GRÁFICO DISPERSIÓN XY</t>
  </si>
  <si>
    <t>Serie 16</t>
  </si>
  <si>
    <t>GRÁFICO BURBUJAS</t>
  </si>
  <si>
    <t>1. En menú Diseño de página, seleccionamos en la cinta de opciones "Tema"  (la primera opción del menú)</t>
  </si>
  <si>
    <r>
      <t xml:space="preserve">2. En el desplegable que nos aparece seleccionamos "Buscar temas…" y buscamos la ruta donde hayamos guardado el tema descargado del </t>
    </r>
    <r>
      <rPr>
        <i/>
        <sz val="10"/>
        <color theme="1"/>
        <rFont val="BBVABentonSans"/>
        <scheme val="minor"/>
      </rPr>
      <t>Brand Experience.</t>
    </r>
  </si>
  <si>
    <t>No obstante, si preferís configurar vuestros archivos históricos de MS Excel con el tema nuevo, os recomendamos que sigais los siguientes pasos:</t>
  </si>
  <si>
    <r>
      <t xml:space="preserve">3. Ya tenemos cargado el tema, pero para poder visualizarlo ahora selecciona "Colores" - "Personalizar colores…" y la paleta que te aparece por defecto renombrala con </t>
    </r>
    <r>
      <rPr>
        <i/>
        <sz val="10"/>
        <color theme="1"/>
        <rFont val="BBVABentonSans"/>
        <scheme val="minor"/>
      </rPr>
      <t>Spherica</t>
    </r>
    <r>
      <rPr>
        <sz val="10"/>
        <color theme="1"/>
        <rFont val="BBVABentonSans"/>
        <scheme val="minor"/>
      </rPr>
      <t>. Realiza los mismos pasos para las Fuentes.</t>
    </r>
  </si>
  <si>
    <r>
      <rPr>
        <b/>
        <sz val="10"/>
        <color theme="0"/>
        <rFont val="BBVABentonSansLight"/>
      </rPr>
      <t>Grey-5</t>
    </r>
    <r>
      <rPr>
        <sz val="10"/>
        <color theme="0"/>
        <rFont val="BBVABentonSans"/>
        <scheme val="minor"/>
      </rPr>
      <t xml:space="preserve">
RGB: 0 5 25  
#000519</t>
    </r>
  </si>
  <si>
    <r>
      <rPr>
        <b/>
        <sz val="10"/>
        <color theme="1"/>
        <rFont val="BBVABentonSansLight"/>
      </rPr>
      <t>Grey-1</t>
    </r>
    <r>
      <rPr>
        <b/>
        <sz val="10"/>
        <color theme="1"/>
        <rFont val="BBVABentonSans"/>
        <scheme val="minor"/>
      </rPr>
      <t xml:space="preserve">
</t>
    </r>
    <r>
      <rPr>
        <sz val="10"/>
        <color theme="1"/>
        <rFont val="BBVABentonSans"/>
        <scheme val="minor"/>
      </rPr>
      <t>RGB: 226 230 234 #E2E6EA</t>
    </r>
  </si>
  <si>
    <r>
      <rPr>
        <b/>
        <sz val="10"/>
        <color theme="1"/>
        <rFont val="BentonSansBBVA Light"/>
        <family val="3"/>
      </rPr>
      <t>Sand</t>
    </r>
    <r>
      <rPr>
        <b/>
        <sz val="10"/>
        <color theme="1"/>
        <rFont val="BBVABentonSans"/>
        <scheme val="minor"/>
      </rPr>
      <t xml:space="preserve">
</t>
    </r>
    <r>
      <rPr>
        <sz val="10"/>
        <color theme="1"/>
        <rFont val="BBVABentonSans"/>
        <scheme val="minor"/>
      </rPr>
      <t>RGB: 247 248 248 #F7F8F8</t>
    </r>
  </si>
  <si>
    <r>
      <rPr>
        <b/>
        <sz val="10"/>
        <color theme="0"/>
        <rFont val="BBVABentonSansLight"/>
      </rPr>
      <t>Grey-4</t>
    </r>
    <r>
      <rPr>
        <sz val="10"/>
        <color theme="0"/>
        <rFont val="BBVABentonSans"/>
        <scheme val="minor"/>
      </rPr>
      <t xml:space="preserve">
RGB: 70 83 109 
#46536D</t>
    </r>
  </si>
  <si>
    <r>
      <rPr>
        <b/>
        <sz val="10"/>
        <color theme="1"/>
        <rFont val="BBVABentonSansLight"/>
      </rPr>
      <t xml:space="preserve">Grey-3
</t>
    </r>
    <r>
      <rPr>
        <sz val="10"/>
        <color theme="1"/>
        <rFont val="BBVABentonSans"/>
        <scheme val="minor"/>
      </rPr>
      <t>RGB: 173 184 194
#ADB8C2</t>
    </r>
  </si>
  <si>
    <r>
      <rPr>
        <b/>
        <sz val="10"/>
        <color theme="1"/>
        <rFont val="BBVABentonSans"/>
        <scheme val="minor"/>
      </rPr>
      <t xml:space="preserve">Grey-2
</t>
    </r>
    <r>
      <rPr>
        <sz val="10"/>
        <color theme="1"/>
        <rFont val="BBVABentonSans"/>
        <scheme val="minor"/>
      </rPr>
      <t>RGB: 202 209 216 #CAD1D8</t>
    </r>
  </si>
  <si>
    <r>
      <rPr>
        <b/>
        <sz val="10"/>
        <color theme="1"/>
        <rFont val="BBVABentonSansLight"/>
      </rPr>
      <t>Serene Blue</t>
    </r>
    <r>
      <rPr>
        <sz val="10"/>
        <color theme="1"/>
        <rFont val="BBVABentonSans"/>
        <scheme val="minor"/>
      </rPr>
      <t xml:space="preserve">
RGB: 133 200 255
#85C8FF</t>
    </r>
  </si>
  <si>
    <r>
      <rPr>
        <b/>
        <sz val="10"/>
        <color theme="0"/>
        <rFont val="BBVABentonSansLight"/>
      </rPr>
      <t>Electric Blue</t>
    </r>
    <r>
      <rPr>
        <sz val="10"/>
        <color theme="0"/>
        <rFont val="BBVABentonSans"/>
        <scheme val="minor"/>
      </rPr>
      <t xml:space="preserve">
RGB: 0 19 145
#001391</t>
    </r>
  </si>
  <si>
    <r>
      <rPr>
        <b/>
        <sz val="10"/>
        <color theme="1"/>
        <rFont val="BBVABentonSans"/>
        <scheme val="minor"/>
      </rPr>
      <t>ACENTOS</t>
    </r>
    <r>
      <rPr>
        <sz val="10"/>
        <color theme="1"/>
        <rFont val="BBVABentonSans"/>
        <scheme val="minor"/>
      </rPr>
      <t xml:space="preserve">
Los acentos se utilizarán como color de relleno de objetos, solo para destacar elementos pequeños.</t>
    </r>
  </si>
  <si>
    <r>
      <rPr>
        <b/>
        <sz val="8"/>
        <color rgb="FF001391"/>
        <rFont val="BBVABentonSans"/>
        <scheme val="minor"/>
      </rPr>
      <t>COLORES PRIMARIOS</t>
    </r>
    <r>
      <rPr>
        <sz val="8"/>
        <color rgb="FF001391"/>
        <rFont val="BBVABentonSans"/>
        <scheme val="minor"/>
      </rPr>
      <t xml:space="preserve">
El uso principal de colores serán azul Electric Blue  y Serene Blue. Son los que mayor peso tendrán en cada diapositiva.</t>
    </r>
  </si>
  <si>
    <t>Colores</t>
  </si>
  <si>
    <r>
      <rPr>
        <b/>
        <sz val="10"/>
        <color theme="1"/>
        <rFont val="BBVABentonSansLight"/>
      </rPr>
      <t>Lime</t>
    </r>
    <r>
      <rPr>
        <sz val="10"/>
        <color theme="1"/>
        <rFont val="BBVABentonSans"/>
        <scheme val="minor"/>
      </rPr>
      <t xml:space="preserve">
RGB:136 231 131
#88E783</t>
    </r>
  </si>
  <si>
    <r>
      <rPr>
        <b/>
        <sz val="10"/>
        <color theme="1"/>
        <rFont val="BBVABentonSansLight"/>
      </rPr>
      <t>Mandarin</t>
    </r>
    <r>
      <rPr>
        <sz val="10"/>
        <color theme="1"/>
        <rFont val="BBVABentonSans"/>
        <scheme val="minor"/>
      </rPr>
      <t xml:space="preserve">
RGB: 255 181 107
#FFB56B</t>
    </r>
  </si>
  <si>
    <r>
      <rPr>
        <b/>
        <sz val="10"/>
        <color theme="1"/>
        <rFont val="BBVABentonSansLight"/>
      </rPr>
      <t>GRISES</t>
    </r>
    <r>
      <rPr>
        <sz val="10"/>
        <color theme="1"/>
        <rFont val="BBVABentonSans"/>
        <scheme val="minor"/>
      </rPr>
      <t xml:space="preserve">
Uso para complementar colores de relleno en tráficos y para bordes de tablas.</t>
    </r>
  </si>
  <si>
    <r>
      <rPr>
        <b/>
        <sz val="10"/>
        <color theme="1"/>
        <rFont val="BBVABentonSansLight"/>
      </rPr>
      <t>Canary</t>
    </r>
    <r>
      <rPr>
        <sz val="10"/>
        <color theme="1"/>
        <rFont val="BBVABentonSans"/>
        <scheme val="minor"/>
      </rPr>
      <t xml:space="preserve">
RGB:255 231 97
#FFE761</t>
    </r>
  </si>
  <si>
    <r>
      <rPr>
        <b/>
        <sz val="10"/>
        <color theme="1"/>
        <rFont val="BBVABentonSansLight"/>
      </rPr>
      <t>Ice</t>
    </r>
    <r>
      <rPr>
        <sz val="10"/>
        <color theme="1"/>
        <rFont val="BBVABentonSans"/>
        <scheme val="minor"/>
      </rPr>
      <t xml:space="preserve">
RGB:139 225 233
#8BE1E9</t>
    </r>
  </si>
  <si>
    <r>
      <rPr>
        <b/>
        <sz val="10"/>
        <color theme="1"/>
        <rFont val="BBVABentonSansLight"/>
      </rPr>
      <t>Purple</t>
    </r>
    <r>
      <rPr>
        <sz val="10"/>
        <color theme="1"/>
        <rFont val="BBVABentonSans"/>
        <scheme val="minor"/>
      </rPr>
      <t xml:space="preserve">
RGB: 150 148 255
#9694FF</t>
    </r>
  </si>
  <si>
    <r>
      <rPr>
        <b/>
        <sz val="10"/>
        <color theme="0"/>
        <rFont val="BBVABentonSansLight"/>
      </rPr>
      <t>Midnight</t>
    </r>
    <r>
      <rPr>
        <sz val="10"/>
        <color theme="0"/>
        <rFont val="BBVABentonSans"/>
        <scheme val="minor"/>
      </rPr>
      <t xml:space="preserve">
RGB: 7 14 70
#070E46</t>
    </r>
  </si>
  <si>
    <t>Size</t>
  </si>
  <si>
    <t>X</t>
  </si>
  <si>
    <t>GRÁFICO MÁXIMOS Y MÍNIMOS</t>
  </si>
  <si>
    <t>GRÁFICO COLUMNA + LINEAS</t>
  </si>
  <si>
    <t>Y</t>
  </si>
  <si>
    <t>Linea</t>
  </si>
  <si>
    <t>column</t>
  </si>
  <si>
    <t>area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</si>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</sst>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&quot;-&quot;yy"/>
    <numFmt numFmtId="165" formatCode="0.0"/>
    <numFmt numFmtId="166" formatCode="#,##0.0"/>
    <numFmt numFmtId="167" formatCode="#,##0.00;\(#,##0.00\)"/>
    <numFmt numFmtId="168" formatCode="0.0%"/>
  </numFmts>
  <fonts count="60" x14ac:knownFonts="1">
    <font>
      <sz val="10"/>
      <color rgb="FF000000"/>
      <name val="BBVABentonSans"/>
      <scheme val="minor"/>
    </font>
    <font>
      <sz val="11"/>
      <color theme="1"/>
      <name val="BBVABentonSans"/>
      <scheme val="minor"/>
    </font>
    <font>
      <sz val="10"/>
      <color theme="1"/>
      <name val="BBVABentonSans"/>
      <scheme val="minor"/>
    </font>
    <font>
      <sz val="9"/>
      <color theme="1"/>
      <name val="BBVABentonSans"/>
      <scheme val="minor"/>
    </font>
    <font>
      <sz val="10"/>
      <color theme="0"/>
      <name val="BBVABentonSans"/>
      <scheme val="minor"/>
    </font>
    <font>
      <sz val="11"/>
      <color rgb="FF004481"/>
      <name val="BBVABentonSans"/>
      <scheme val="minor"/>
    </font>
    <font>
      <sz val="10"/>
      <color rgb="FF001391"/>
      <name val="BBVABentonSans"/>
      <scheme val="minor"/>
    </font>
    <font>
      <sz val="11"/>
      <color rgb="FF001391"/>
      <name val="BBVABentonSans"/>
      <scheme val="minor"/>
    </font>
    <font>
      <sz val="12"/>
      <color theme="1"/>
      <name val="BBVABentonSans"/>
      <scheme val="minor"/>
    </font>
    <font>
      <b/>
      <sz val="11"/>
      <color rgb="FF9694FF"/>
      <name val="BBVABentonSans"/>
      <scheme val="minor"/>
    </font>
    <font>
      <b/>
      <sz val="12"/>
      <color theme="1"/>
      <name val="BBVABentonSans"/>
      <scheme val="minor"/>
    </font>
    <font>
      <b/>
      <sz val="10"/>
      <color theme="1"/>
      <name val="BBVABentonSans"/>
      <scheme val="minor"/>
    </font>
    <font>
      <sz val="10"/>
      <color rgb="FF000519"/>
      <name val="BBVABentonSans"/>
      <scheme val="minor"/>
    </font>
    <font>
      <sz val="10"/>
      <color theme="5"/>
      <name val="BBVABentonSans"/>
      <scheme val="minor"/>
    </font>
    <font>
      <sz val="16"/>
      <color theme="1"/>
      <name val="BBVABentonSans"/>
      <scheme val="minor"/>
    </font>
    <font>
      <sz val="8"/>
      <color rgb="FF001391"/>
      <name val="BBVABentonSans"/>
      <scheme val="minor"/>
    </font>
    <font>
      <sz val="11"/>
      <color theme="5"/>
      <name val="BBVABentonSans"/>
      <scheme val="minor"/>
    </font>
    <font>
      <sz val="7"/>
      <color theme="5"/>
      <name val="BBVABentonSans"/>
      <scheme val="minor"/>
    </font>
    <font>
      <sz val="7"/>
      <color rgb="FF001391"/>
      <name val="BBVABentonSans"/>
      <scheme val="minor"/>
    </font>
    <font>
      <b/>
      <sz val="8"/>
      <color rgb="FF9694FF"/>
      <name val="BBVABentonSans"/>
      <scheme val="minor"/>
    </font>
    <font>
      <sz val="8"/>
      <color theme="4"/>
      <name val="BBVABentonSans"/>
      <scheme val="minor"/>
    </font>
    <font>
      <sz val="7"/>
      <color theme="1"/>
      <name val="BBVABentonSans"/>
      <scheme val="minor"/>
    </font>
    <font>
      <sz val="8"/>
      <color rgb="FF060E46"/>
      <name val="BBVABentonSans"/>
      <scheme val="minor"/>
    </font>
    <font>
      <sz val="11"/>
      <color rgb="FF8BE1E9"/>
      <name val="BBVABentonSans"/>
      <scheme val="minor"/>
    </font>
    <font>
      <sz val="11"/>
      <color theme="8"/>
      <name val="BBVABentonSans"/>
      <scheme val="minor"/>
    </font>
    <font>
      <sz val="11"/>
      <color theme="6"/>
      <name val="BBVABentonSans"/>
      <scheme val="minor"/>
    </font>
    <font>
      <sz val="11"/>
      <color rgb="FFFFB56B"/>
      <name val="BBVABentonSans"/>
      <scheme val="minor"/>
    </font>
    <font>
      <i/>
      <sz val="8"/>
      <color theme="5"/>
      <name val="BBVABentonSans"/>
      <scheme val="minor"/>
    </font>
    <font>
      <i/>
      <sz val="10"/>
      <color theme="1"/>
      <name val="BBVABentonSans"/>
      <scheme val="minor"/>
    </font>
    <font>
      <b/>
      <sz val="10"/>
      <color theme="0"/>
      <name val="BBVABentonSansLight"/>
    </font>
    <font>
      <b/>
      <sz val="10"/>
      <color theme="1"/>
      <name val="BBVABentonSansLight"/>
    </font>
    <font>
      <b/>
      <sz val="10"/>
      <color theme="1"/>
      <name val="BentonSansBBVA Light"/>
      <family val="3"/>
    </font>
    <font>
      <sz val="10"/>
      <color theme="1"/>
      <name val="BBVABentonSans"/>
      <family val="3"/>
      <scheme val="minor"/>
    </font>
    <font>
      <b/>
      <sz val="8"/>
      <color rgb="FF001391"/>
      <name val="BBVABentonSans"/>
      <scheme val="minor"/>
    </font>
    <font>
      <b/>
      <sz val="22"/>
      <color theme="1"/>
      <name val="BBVABentonSansLight"/>
    </font>
    <font>
      <b/>
      <sz val="11"/>
      <color theme="0"/>
      <name val="BBVABentonSansLight"/>
    </font>
    <font>
      <b/>
      <sz val="13"/>
      <color theme="1"/>
      <name val="BBVABentonSansLight"/>
    </font>
    <font>
      <b/>
      <sz val="12"/>
      <color rgb="FFFFFFFF"/>
      <name val="BBVABentonSansLight"/>
    </font>
    <font>
      <b/>
      <sz val="12"/>
      <color rgb="FF001391"/>
      <name val="BBVABentonSansLight"/>
    </font>
    <font>
      <b/>
      <sz val="12"/>
      <color theme="1"/>
      <name val="BBVABentonSansLight"/>
    </font>
    <font>
      <b/>
      <sz val="11"/>
      <color theme="9"/>
      <name val="BBVABentonSans"/>
      <scheme val="minor"/>
    </font>
    <font>
      <sz val="10"/>
      <color rgb="FFFFFFFF"/>
      <name val="BBVABentonSansLight"/>
    </font>
    <font>
      <b/>
      <sz val="14"/>
      <color rgb="FFFFFFFF"/>
      <name val="BBVABentonSansLight"/>
    </font>
    <font>
      <sz val="10"/>
      <color rgb="FF000000"/>
      <name val="BBVABentonSansLight"/>
    </font>
    <font>
      <b/>
      <sz val="13"/>
      <color rgb="FFFFFFFF"/>
      <name val="BBVABentonSansLight"/>
    </font>
    <font>
      <sz val="12"/>
      <color rgb="FFFFFFFF"/>
      <name val="BBVABentonSansLight"/>
    </font>
    <font>
      <sz val="10"/>
      <name val="BBVABentonSansLight"/>
    </font>
    <font>
      <b/>
      <sz val="11"/>
      <color rgb="FFFFFFFF"/>
      <name val="BBVABentonSansLight"/>
    </font>
    <font>
      <b/>
      <sz val="10"/>
      <color rgb="FF000519"/>
      <name val="BBVABentonSansLight"/>
    </font>
    <font>
      <b/>
      <sz val="12"/>
      <color rgb="FF001391"/>
      <name val="BentonSansBBVA Light"/>
      <family val="3"/>
    </font>
    <font>
      <b/>
      <sz val="11"/>
      <color rgb="FF001391"/>
      <name val="BBVABentonSansLight"/>
    </font>
    <font>
      <b/>
      <sz val="9"/>
      <color theme="1"/>
      <name val="BBVABentonSansLight"/>
    </font>
    <font>
      <b/>
      <sz val="9"/>
      <color rgb="FF001391"/>
      <name val="BBVABentonSansLight"/>
    </font>
    <font>
      <b/>
      <i/>
      <sz val="9"/>
      <color theme="1"/>
      <name val="BBVABentonSansLight"/>
    </font>
    <font>
      <sz val="10"/>
      <color theme="9"/>
      <name val="BBVABentonSans"/>
      <scheme val="minor"/>
    </font>
    <font>
      <sz val="11"/>
      <color theme="9"/>
      <name val="BBVABentonSans"/>
      <scheme val="minor"/>
    </font>
    <font>
      <b/>
      <sz val="8"/>
      <color theme="9"/>
      <name val="BBVABentonSans"/>
      <scheme val="minor"/>
    </font>
    <font>
      <sz val="10"/>
      <color theme="4"/>
      <name val="BBVABentonSans"/>
      <scheme val="minor"/>
    </font>
    <font>
      <i/>
      <sz val="8"/>
      <color theme="4"/>
      <name val="BBVABentonSans"/>
      <scheme val="minor"/>
    </font>
    <font>
      <sz val="10"/>
      <color rgb="FF8BE1E9"/>
      <name val="BBVABentonSans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E2E6EA"/>
        <bgColor rgb="FFE2E6EA"/>
      </patternFill>
    </fill>
    <fill>
      <patternFill patternType="solid">
        <fgColor rgb="FFFFFFFF"/>
        <bgColor rgb="FFFFFFFF"/>
      </patternFill>
    </fill>
    <fill>
      <patternFill patternType="solid">
        <fgColor theme="1"/>
        <bgColor theme="1"/>
      </patternFill>
    </fill>
    <fill>
      <patternFill patternType="solid">
        <fgColor theme="8"/>
        <bgColor theme="8"/>
      </patternFill>
    </fill>
    <fill>
      <patternFill patternType="solid">
        <fgColor theme="0"/>
        <bgColor theme="0"/>
      </patternFill>
    </fill>
    <fill>
      <patternFill patternType="solid">
        <fgColor theme="4"/>
        <bgColor theme="5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2E6EA"/>
        <bgColor indexed="64"/>
      </patternFill>
    </fill>
    <fill>
      <patternFill patternType="solid">
        <fgColor rgb="FF000519"/>
        <bgColor indexed="64"/>
      </patternFill>
    </fill>
    <fill>
      <patternFill patternType="solid">
        <fgColor rgb="FF46536D"/>
        <bgColor indexed="64"/>
      </patternFill>
    </fill>
    <fill>
      <patternFill patternType="solid">
        <fgColor rgb="FFADB8C2"/>
        <bgColor indexed="64"/>
      </patternFill>
    </fill>
    <fill>
      <patternFill patternType="solid">
        <fgColor rgb="FFCAD1D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8BE1E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2E6EA"/>
        <bgColor rgb="FFFFFFFF"/>
      </patternFill>
    </fill>
    <fill>
      <patternFill patternType="solid">
        <fgColor rgb="FF070E46"/>
        <bgColor indexed="64"/>
      </patternFill>
    </fill>
  </fills>
  <borders count="29">
    <border>
      <left/>
      <right/>
      <top/>
      <bottom/>
      <diagonal/>
    </border>
    <border>
      <left/>
      <right style="thin">
        <color rgb="FFCAD1D8"/>
      </right>
      <top/>
      <bottom style="thin">
        <color rgb="FFCAD1D8"/>
      </bottom>
      <diagonal/>
    </border>
    <border>
      <left style="thin">
        <color rgb="FFCAD1D8"/>
      </left>
      <right style="thin">
        <color rgb="FFCAD1D8"/>
      </right>
      <top/>
      <bottom style="thin">
        <color rgb="FFCAD1D8"/>
      </bottom>
      <diagonal/>
    </border>
    <border>
      <left style="thin">
        <color rgb="FFCAD1D8"/>
      </left>
      <right/>
      <top/>
      <bottom style="thin">
        <color rgb="FFCAD1D8"/>
      </bottom>
      <diagonal/>
    </border>
    <border>
      <left/>
      <right style="thin">
        <color rgb="FFCAD1D8"/>
      </right>
      <top style="thin">
        <color rgb="FFCAD1D8"/>
      </top>
      <bottom style="thin">
        <color rgb="FFCAD1D8"/>
      </bottom>
      <diagonal/>
    </border>
    <border>
      <left style="thin">
        <color rgb="FFCAD1D8"/>
      </left>
      <right style="thin">
        <color rgb="FFCAD1D8"/>
      </right>
      <top style="thin">
        <color rgb="FFCAD1D8"/>
      </top>
      <bottom style="thin">
        <color rgb="FFCAD1D8"/>
      </bottom>
      <diagonal/>
    </border>
    <border>
      <left style="thin">
        <color rgb="FFCAD1D8"/>
      </left>
      <right/>
      <top style="thin">
        <color rgb="FFCAD1D8"/>
      </top>
      <bottom style="thin">
        <color rgb="FFCAD1D8"/>
      </bottom>
      <diagonal/>
    </border>
    <border>
      <left/>
      <right style="thin">
        <color rgb="FFCAD1D8"/>
      </right>
      <top style="thin">
        <color rgb="FFCAD1D8"/>
      </top>
      <bottom/>
      <diagonal/>
    </border>
    <border>
      <left style="thin">
        <color rgb="FFCAD1D8"/>
      </left>
      <right style="thin">
        <color rgb="FFCAD1D8"/>
      </right>
      <top style="thin">
        <color rgb="FFCAD1D8"/>
      </top>
      <bottom/>
      <diagonal/>
    </border>
    <border>
      <left style="thin">
        <color rgb="FFCAD1D8"/>
      </left>
      <right/>
      <top style="thin">
        <color rgb="FFCAD1D8"/>
      </top>
      <bottom/>
      <diagonal/>
    </border>
    <border>
      <left/>
      <right style="thin">
        <color rgb="FFCAD1D8"/>
      </right>
      <top/>
      <bottom/>
      <diagonal/>
    </border>
    <border>
      <left style="thin">
        <color rgb="FFCAD1D8"/>
      </left>
      <right style="thin">
        <color rgb="FFCAD1D8"/>
      </right>
      <top/>
      <bottom/>
      <diagonal/>
    </border>
    <border>
      <left style="thin">
        <color rgb="FFCAD1D8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/>
      <right/>
      <top/>
      <bottom style="thin">
        <color rgb="FF001391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thin">
        <color rgb="FFCAD1D8"/>
      </bottom>
      <diagonal/>
    </border>
    <border>
      <left/>
      <right/>
      <top style="thin">
        <color rgb="FFCAD1D8"/>
      </top>
      <bottom style="thin">
        <color rgb="FFCAD1D8"/>
      </bottom>
      <diagonal/>
    </border>
    <border>
      <left/>
      <right/>
      <top style="thin">
        <color rgb="FFCAD1D8"/>
      </top>
      <bottom style="thin">
        <color rgb="FF001391"/>
      </bottom>
      <diagonal/>
    </border>
    <border>
      <left style="thin">
        <color rgb="FFCAD1D8"/>
      </left>
      <right/>
      <top style="thin">
        <color rgb="FFCAD1D8"/>
      </top>
      <bottom style="thin">
        <color rgb="FF001391"/>
      </bottom>
      <diagonal/>
    </border>
    <border>
      <left/>
      <right/>
      <top/>
      <bottom style="thin">
        <color rgb="FFADB8C2"/>
      </bottom>
      <diagonal/>
    </border>
    <border>
      <left style="thick">
        <color rgb="FFE2E6EA"/>
      </left>
      <right/>
      <top/>
      <bottom style="thin">
        <color rgb="FFADB8C2"/>
      </bottom>
      <diagonal/>
    </border>
    <border>
      <left/>
      <right style="thin">
        <color rgb="FFCAD1D8"/>
      </right>
      <top style="thin">
        <color rgb="FFCAD1D8"/>
      </top>
      <bottom style="thin">
        <color rgb="FF001391"/>
      </bottom>
      <diagonal/>
    </border>
    <border>
      <left style="thin">
        <color rgb="FFCAD1D8"/>
      </left>
      <right style="thin">
        <color rgb="FFCAD1D8"/>
      </right>
      <top style="thin">
        <color rgb="FFCAD1D8"/>
      </top>
      <bottom style="thin">
        <color rgb="FF001391"/>
      </bottom>
      <diagonal/>
    </border>
    <border>
      <left/>
      <right/>
      <top style="thin">
        <color rgb="FFCAD1D8"/>
      </top>
      <bottom/>
      <diagonal/>
    </border>
    <border>
      <left/>
      <right/>
      <top/>
      <bottom style="thin">
        <color theme="1"/>
      </bottom>
      <diagonal/>
    </border>
    <border>
      <left/>
      <right style="thick">
        <color rgb="FFE2E6EA"/>
      </right>
      <top/>
      <bottom/>
      <diagonal/>
    </border>
    <border>
      <left/>
      <right/>
      <top style="thin">
        <color rgb="FFADB8C2"/>
      </top>
      <bottom/>
      <diagonal/>
    </border>
  </borders>
  <cellStyleXfs count="1">
    <xf numFmtId="0" fontId="0" fillId="0" borderId="0"/>
  </cellStyleXfs>
  <cellXfs count="252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right"/>
    </xf>
    <xf numFmtId="9" fontId="2" fillId="0" borderId="0" xfId="0" applyNumberFormat="1" applyFont="1" applyAlignment="1"/>
    <xf numFmtId="0" fontId="2" fillId="0" borderId="0" xfId="0" applyFont="1" applyAlignment="1"/>
    <xf numFmtId="9" fontId="1" fillId="0" borderId="0" xfId="0" applyNumberFormat="1" applyFont="1" applyAlignment="1"/>
    <xf numFmtId="0" fontId="3" fillId="0" borderId="0" xfId="0" applyFont="1" applyAlignment="1"/>
    <xf numFmtId="0" fontId="4" fillId="0" borderId="0" xfId="0" applyFont="1"/>
    <xf numFmtId="0" fontId="2" fillId="2" borderId="0" xfId="0" applyFont="1" applyFill="1"/>
    <xf numFmtId="0" fontId="5" fillId="0" borderId="0" xfId="0" applyFont="1" applyAlignment="1">
      <alignment horizontal="left"/>
    </xf>
    <xf numFmtId="0" fontId="2" fillId="2" borderId="0" xfId="0" applyFont="1" applyFill="1" applyAlignment="1">
      <alignment wrapText="1"/>
    </xf>
    <xf numFmtId="0" fontId="2" fillId="2" borderId="0" xfId="0" applyFont="1" applyFill="1" applyAlignment="1"/>
    <xf numFmtId="0" fontId="1" fillId="0" borderId="0" xfId="0" applyFont="1" applyAlignment="1">
      <alignment horizontal="left"/>
    </xf>
    <xf numFmtId="0" fontId="1" fillId="2" borderId="0" xfId="0" applyFont="1" applyFill="1" applyAlignment="1">
      <alignment wrapText="1"/>
    </xf>
    <xf numFmtId="0" fontId="8" fillId="0" borderId="1" xfId="0" applyFont="1" applyBorder="1" applyAlignment="1">
      <alignment vertical="center"/>
    </xf>
    <xf numFmtId="0" fontId="8" fillId="0" borderId="2" xfId="0" applyFont="1" applyBorder="1" applyAlignment="1">
      <alignment horizontal="right" vertical="center"/>
    </xf>
    <xf numFmtId="0" fontId="8" fillId="0" borderId="3" xfId="0" applyFont="1" applyBorder="1" applyAlignment="1">
      <alignment horizontal="right"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horizontal="right" vertical="center"/>
    </xf>
    <xf numFmtId="0" fontId="8" fillId="0" borderId="6" xfId="0" applyFont="1" applyBorder="1" applyAlignment="1">
      <alignment horizontal="right" vertical="center"/>
    </xf>
    <xf numFmtId="0" fontId="8" fillId="0" borderId="7" xfId="0" applyFont="1" applyBorder="1" applyAlignment="1">
      <alignment vertical="center"/>
    </xf>
    <xf numFmtId="0" fontId="8" fillId="0" borderId="8" xfId="0" applyFont="1" applyBorder="1" applyAlignment="1">
      <alignment horizontal="right" vertical="center"/>
    </xf>
    <xf numFmtId="0" fontId="8" fillId="0" borderId="9" xfId="0" applyFont="1" applyBorder="1" applyAlignment="1">
      <alignment horizontal="right" vertical="center"/>
    </xf>
    <xf numFmtId="0" fontId="9" fillId="0" borderId="0" xfId="0" applyFont="1" applyAlignment="1"/>
    <xf numFmtId="0" fontId="11" fillId="2" borderId="0" xfId="0" applyFont="1" applyFill="1"/>
    <xf numFmtId="0" fontId="11" fillId="2" borderId="0" xfId="0" applyFont="1" applyFill="1" applyAlignment="1"/>
    <xf numFmtId="0" fontId="12" fillId="0" borderId="1" xfId="0" applyFont="1" applyBorder="1" applyAlignment="1">
      <alignment vertical="center"/>
    </xf>
    <xf numFmtId="0" fontId="12" fillId="0" borderId="2" xfId="0" applyFont="1" applyBorder="1" applyAlignment="1">
      <alignment horizontal="right" vertical="center"/>
    </xf>
    <xf numFmtId="3" fontId="12" fillId="0" borderId="2" xfId="0" applyNumberFormat="1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12" fillId="0" borderId="4" xfId="0" applyFont="1" applyBorder="1" applyAlignment="1">
      <alignment vertical="center"/>
    </xf>
    <xf numFmtId="0" fontId="12" fillId="0" borderId="5" xfId="0" applyFont="1" applyBorder="1" applyAlignment="1">
      <alignment horizontal="right" vertical="center"/>
    </xf>
    <xf numFmtId="0" fontId="12" fillId="0" borderId="6" xfId="0" applyFont="1" applyBorder="1" applyAlignment="1">
      <alignment horizontal="right" vertical="center"/>
    </xf>
    <xf numFmtId="0" fontId="12" fillId="5" borderId="5" xfId="0" applyFont="1" applyFill="1" applyBorder="1" applyAlignment="1">
      <alignment horizontal="right" vertical="center"/>
    </xf>
    <xf numFmtId="3" fontId="12" fillId="5" borderId="5" xfId="0" applyNumberFormat="1" applyFont="1" applyFill="1" applyBorder="1" applyAlignment="1">
      <alignment horizontal="right" vertical="center"/>
    </xf>
    <xf numFmtId="0" fontId="12" fillId="5" borderId="6" xfId="0" applyFont="1" applyFill="1" applyBorder="1" applyAlignment="1">
      <alignment horizontal="right" vertical="center"/>
    </xf>
    <xf numFmtId="3" fontId="12" fillId="0" borderId="5" xfId="0" applyNumberFormat="1" applyFont="1" applyBorder="1" applyAlignment="1">
      <alignment horizontal="right"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/>
    </xf>
    <xf numFmtId="0" fontId="4" fillId="3" borderId="0" xfId="0" applyFont="1" applyFill="1"/>
    <xf numFmtId="0" fontId="2" fillId="3" borderId="0" xfId="0" applyFont="1" applyFill="1"/>
    <xf numFmtId="0" fontId="5" fillId="3" borderId="0" xfId="0" applyFont="1" applyFill="1" applyAlignment="1">
      <alignment horizontal="left"/>
    </xf>
    <xf numFmtId="0" fontId="13" fillId="0" borderId="0" xfId="0" applyFont="1"/>
    <xf numFmtId="0" fontId="1" fillId="0" borderId="0" xfId="0" applyFont="1"/>
    <xf numFmtId="0" fontId="7" fillId="0" borderId="0" xfId="0" applyFont="1" applyAlignment="1"/>
    <xf numFmtId="9" fontId="7" fillId="0" borderId="0" xfId="0" applyNumberFormat="1" applyFont="1" applyAlignment="1"/>
    <xf numFmtId="0" fontId="14" fillId="0" borderId="0" xfId="0" applyFont="1"/>
    <xf numFmtId="0" fontId="11" fillId="0" borderId="0" xfId="0" applyFont="1"/>
    <xf numFmtId="0" fontId="1" fillId="0" borderId="0" xfId="0" applyFont="1" applyAlignment="1">
      <alignment horizontal="right" wrapText="1"/>
    </xf>
    <xf numFmtId="0" fontId="6" fillId="0" borderId="0" xfId="0" applyFont="1" applyAlignment="1"/>
    <xf numFmtId="9" fontId="1" fillId="0" borderId="0" xfId="0" applyNumberFormat="1" applyFont="1" applyAlignment="1">
      <alignment horizontal="right"/>
    </xf>
    <xf numFmtId="9" fontId="15" fillId="0" borderId="0" xfId="0" applyNumberFormat="1" applyFont="1" applyAlignment="1">
      <alignment horizontal="right"/>
    </xf>
    <xf numFmtId="0" fontId="16" fillId="6" borderId="0" xfId="0" applyFont="1" applyFill="1" applyAlignment="1">
      <alignment vertical="center"/>
    </xf>
    <xf numFmtId="9" fontId="17" fillId="6" borderId="0" xfId="0" applyNumberFormat="1" applyFont="1" applyFill="1" applyAlignment="1">
      <alignment horizontal="right" vertical="center"/>
    </xf>
    <xf numFmtId="9" fontId="7" fillId="0" borderId="0" xfId="0" applyNumberFormat="1" applyFont="1" applyAlignment="1">
      <alignment horizontal="right"/>
    </xf>
    <xf numFmtId="9" fontId="18" fillId="0" borderId="0" xfId="0" applyNumberFormat="1" applyFont="1" applyAlignment="1">
      <alignment horizontal="right"/>
    </xf>
    <xf numFmtId="0" fontId="2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1" fontId="2" fillId="0" borderId="0" xfId="0" applyNumberFormat="1" applyFont="1" applyAlignment="1">
      <alignment horizontal="right"/>
    </xf>
    <xf numFmtId="164" fontId="2" fillId="0" borderId="0" xfId="0" applyNumberFormat="1" applyFont="1" applyAlignment="1">
      <alignment horizontal="left"/>
    </xf>
    <xf numFmtId="0" fontId="19" fillId="0" borderId="0" xfId="0" applyFont="1" applyAlignment="1"/>
    <xf numFmtId="0" fontId="20" fillId="0" borderId="0" xfId="0" applyFont="1" applyAlignment="1"/>
    <xf numFmtId="9" fontId="1" fillId="0" borderId="0" xfId="0" applyNumberFormat="1" applyFont="1" applyAlignment="1">
      <alignment horizontal="right" wrapText="1"/>
    </xf>
    <xf numFmtId="0" fontId="16" fillId="0" borderId="0" xfId="0" applyFont="1" applyAlignment="1"/>
    <xf numFmtId="9" fontId="17" fillId="0" borderId="0" xfId="0" applyNumberFormat="1" applyFont="1" applyAlignment="1">
      <alignment horizontal="right"/>
    </xf>
    <xf numFmtId="9" fontId="2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quotePrefix="1" applyFont="1" applyAlignment="1"/>
    <xf numFmtId="3" fontId="1" fillId="0" borderId="0" xfId="0" applyNumberFormat="1" applyFont="1" applyAlignment="1">
      <alignment horizontal="right"/>
    </xf>
    <xf numFmtId="0" fontId="14" fillId="0" borderId="0" xfId="0" applyFont="1" applyAlignment="1"/>
    <xf numFmtId="9" fontId="1" fillId="0" borderId="0" xfId="0" applyNumberFormat="1" applyFont="1"/>
    <xf numFmtId="165" fontId="1" fillId="0" borderId="0" xfId="0" applyNumberFormat="1" applyFont="1" applyAlignment="1">
      <alignment horizontal="right"/>
    </xf>
    <xf numFmtId="0" fontId="6" fillId="0" borderId="0" xfId="0" applyFont="1" applyAlignment="1">
      <alignment horizontal="center"/>
    </xf>
    <xf numFmtId="166" fontId="1" fillId="0" borderId="0" xfId="0" applyNumberFormat="1" applyFont="1" applyAlignment="1">
      <alignment horizontal="right"/>
    </xf>
    <xf numFmtId="17" fontId="1" fillId="0" borderId="0" xfId="0" applyNumberFormat="1" applyFont="1"/>
    <xf numFmtId="165" fontId="1" fillId="0" borderId="0" xfId="0" applyNumberFormat="1" applyFont="1"/>
    <xf numFmtId="166" fontId="1" fillId="0" borderId="0" xfId="0" applyNumberFormat="1" applyFont="1"/>
    <xf numFmtId="10" fontId="2" fillId="0" borderId="0" xfId="0" applyNumberFormat="1" applyFont="1"/>
    <xf numFmtId="0" fontId="22" fillId="0" borderId="0" xfId="0" applyFont="1" applyAlignment="1"/>
    <xf numFmtId="0" fontId="11" fillId="0" borderId="0" xfId="0" applyFont="1" applyAlignment="1"/>
    <xf numFmtId="0" fontId="7" fillId="0" borderId="0" xfId="0" quotePrefix="1" applyFont="1" applyAlignment="1"/>
    <xf numFmtId="9" fontId="23" fillId="0" borderId="0" xfId="0" applyNumberFormat="1" applyFont="1" applyAlignment="1"/>
    <xf numFmtId="9" fontId="24" fillId="0" borderId="0" xfId="0" applyNumberFormat="1" applyFont="1" applyAlignment="1"/>
    <xf numFmtId="167" fontId="7" fillId="0" borderId="0" xfId="0" applyNumberFormat="1" applyFont="1" applyAlignment="1"/>
    <xf numFmtId="167" fontId="25" fillId="0" borderId="0" xfId="0" applyNumberFormat="1" applyFont="1" applyAlignment="1"/>
    <xf numFmtId="167" fontId="26" fillId="0" borderId="0" xfId="0" applyNumberFormat="1" applyFont="1" applyAlignment="1"/>
    <xf numFmtId="9" fontId="17" fillId="6" borderId="0" xfId="0" quotePrefix="1" applyNumberFormat="1" applyFont="1" applyFill="1" applyAlignment="1">
      <alignment horizontal="right" vertical="center"/>
    </xf>
    <xf numFmtId="165" fontId="16" fillId="6" borderId="0" xfId="0" applyNumberFormat="1" applyFont="1" applyFill="1"/>
    <xf numFmtId="0" fontId="1" fillId="6" borderId="0" xfId="0" applyFont="1" applyFill="1"/>
    <xf numFmtId="0" fontId="27" fillId="6" borderId="0" xfId="0" applyFont="1" applyFill="1"/>
    <xf numFmtId="166" fontId="16" fillId="6" borderId="0" xfId="0" applyNumberFormat="1" applyFont="1" applyFill="1"/>
    <xf numFmtId="0" fontId="7" fillId="0" borderId="0" xfId="0" applyFont="1" applyAlignment="1">
      <alignment horizontal="right"/>
    </xf>
    <xf numFmtId="168" fontId="2" fillId="0" borderId="0" xfId="0" applyNumberFormat="1" applyFont="1"/>
    <xf numFmtId="168" fontId="2" fillId="0" borderId="0" xfId="0" applyNumberFormat="1" applyFont="1" applyAlignment="1">
      <alignment horizontal="right"/>
    </xf>
    <xf numFmtId="0" fontId="2" fillId="0" borderId="0" xfId="0" applyFont="1" applyFill="1"/>
    <xf numFmtId="0" fontId="5" fillId="0" borderId="0" xfId="0" applyFont="1" applyFill="1" applyAlignment="1">
      <alignment horizontal="left"/>
    </xf>
    <xf numFmtId="0" fontId="0" fillId="0" borderId="0" xfId="0" applyFont="1" applyFill="1" applyAlignment="1"/>
    <xf numFmtId="0" fontId="2" fillId="2" borderId="0" xfId="0" applyFont="1" applyFill="1" applyAlignment="1">
      <alignment wrapText="1"/>
    </xf>
    <xf numFmtId="0" fontId="2" fillId="0" borderId="0" xfId="0" applyFont="1" applyAlignment="1"/>
    <xf numFmtId="0" fontId="0" fillId="0" borderId="0" xfId="0" applyFont="1" applyAlignment="1"/>
    <xf numFmtId="0" fontId="2" fillId="12" borderId="0" xfId="0" applyFont="1" applyFill="1"/>
    <xf numFmtId="0" fontId="2" fillId="12" borderId="0" xfId="0" applyFont="1" applyFill="1" applyAlignment="1"/>
    <xf numFmtId="0" fontId="15" fillId="12" borderId="0" xfId="0" applyFont="1" applyFill="1" applyAlignment="1">
      <alignment vertical="top" wrapText="1" readingOrder="1"/>
    </xf>
    <xf numFmtId="0" fontId="34" fillId="2" borderId="0" xfId="0" applyFont="1" applyFill="1"/>
    <xf numFmtId="0" fontId="2" fillId="22" borderId="0" xfId="0" applyFont="1" applyFill="1"/>
    <xf numFmtId="0" fontId="32" fillId="11" borderId="6" xfId="0" applyFont="1" applyFill="1" applyBorder="1" applyAlignment="1">
      <alignment horizontal="right" wrapText="1"/>
    </xf>
    <xf numFmtId="0" fontId="2" fillId="11" borderId="18" xfId="0" applyFont="1" applyFill="1" applyBorder="1"/>
    <xf numFmtId="0" fontId="2" fillId="12" borderId="18" xfId="0" applyFont="1" applyFill="1" applyBorder="1" applyAlignment="1">
      <alignment horizontal="right" wrapText="1"/>
    </xf>
    <xf numFmtId="0" fontId="2" fillId="12" borderId="18" xfId="0" applyFont="1" applyFill="1" applyBorder="1"/>
    <xf numFmtId="0" fontId="2" fillId="16" borderId="18" xfId="0" applyFont="1" applyFill="1" applyBorder="1" applyAlignment="1">
      <alignment horizontal="right" wrapText="1"/>
    </xf>
    <xf numFmtId="0" fontId="2" fillId="16" borderId="18" xfId="0" applyFont="1" applyFill="1" applyBorder="1"/>
    <xf numFmtId="0" fontId="2" fillId="15" borderId="18" xfId="0" applyFont="1" applyFill="1" applyBorder="1" applyAlignment="1">
      <alignment horizontal="right" wrapText="1"/>
    </xf>
    <xf numFmtId="0" fontId="2" fillId="15" borderId="18" xfId="0" applyFont="1" applyFill="1" applyBorder="1"/>
    <xf numFmtId="0" fontId="4" fillId="14" borderId="18" xfId="0" applyFont="1" applyFill="1" applyBorder="1" applyAlignment="1">
      <alignment horizontal="right" wrapText="1"/>
    </xf>
    <xf numFmtId="0" fontId="4" fillId="14" borderId="18" xfId="0" applyFont="1" applyFill="1" applyBorder="1"/>
    <xf numFmtId="0" fontId="4" fillId="13" borderId="18" xfId="0" applyFont="1" applyFill="1" applyBorder="1" applyAlignment="1">
      <alignment horizontal="right" wrapText="1"/>
    </xf>
    <xf numFmtId="0" fontId="4" fillId="13" borderId="4" xfId="0" applyFont="1" applyFill="1" applyBorder="1"/>
    <xf numFmtId="0" fontId="2" fillId="10" borderId="6" xfId="0" applyFont="1" applyFill="1" applyBorder="1" applyAlignment="1">
      <alignment horizontal="right" wrapText="1"/>
    </xf>
    <xf numFmtId="0" fontId="2" fillId="10" borderId="18" xfId="0" applyFont="1" applyFill="1" applyBorder="1"/>
    <xf numFmtId="0" fontId="2" fillId="17" borderId="18" xfId="0" applyFont="1" applyFill="1" applyBorder="1"/>
    <xf numFmtId="0" fontId="2" fillId="20" borderId="4" xfId="0" applyFont="1" applyFill="1" applyBorder="1"/>
    <xf numFmtId="0" fontId="4" fillId="8" borderId="9" xfId="0" applyFont="1" applyFill="1" applyBorder="1"/>
    <xf numFmtId="0" fontId="2" fillId="8" borderId="25" xfId="0" applyFont="1" applyFill="1" applyBorder="1"/>
    <xf numFmtId="0" fontId="0" fillId="8" borderId="25" xfId="0" applyFont="1" applyFill="1" applyBorder="1" applyAlignment="1"/>
    <xf numFmtId="0" fontId="2" fillId="9" borderId="25" xfId="0" applyFont="1" applyFill="1" applyBorder="1"/>
    <xf numFmtId="0" fontId="2" fillId="21" borderId="25" xfId="0" applyFont="1" applyFill="1" applyBorder="1"/>
    <xf numFmtId="0" fontId="2" fillId="21" borderId="7" xfId="0" applyFont="1" applyFill="1" applyBorder="1"/>
    <xf numFmtId="0" fontId="2" fillId="8" borderId="0" xfId="0" applyFont="1" applyFill="1" applyBorder="1"/>
    <xf numFmtId="0" fontId="2" fillId="9" borderId="0" xfId="0" applyFont="1" applyFill="1" applyBorder="1"/>
    <xf numFmtId="0" fontId="2" fillId="21" borderId="0" xfId="0" applyFont="1" applyFill="1" applyBorder="1"/>
    <xf numFmtId="0" fontId="2" fillId="21" borderId="10" xfId="0" applyFont="1" applyFill="1" applyBorder="1"/>
    <xf numFmtId="0" fontId="2" fillId="8" borderId="17" xfId="0" applyFont="1" applyFill="1" applyBorder="1"/>
    <xf numFmtId="0" fontId="2" fillId="9" borderId="17" xfId="0" applyFont="1" applyFill="1" applyBorder="1"/>
    <xf numFmtId="0" fontId="2" fillId="21" borderId="1" xfId="0" applyFont="1" applyFill="1" applyBorder="1"/>
    <xf numFmtId="0" fontId="2" fillId="17" borderId="18" xfId="0" applyFont="1" applyFill="1" applyBorder="1" applyAlignment="1">
      <alignment horizontal="right" wrapText="1"/>
    </xf>
    <xf numFmtId="0" fontId="2" fillId="18" borderId="18" xfId="0" applyFont="1" applyFill="1" applyBorder="1" applyAlignment="1">
      <alignment horizontal="right" wrapText="1"/>
    </xf>
    <xf numFmtId="0" fontId="2" fillId="18" borderId="18" xfId="0" applyFont="1" applyFill="1" applyBorder="1" applyAlignment="1">
      <alignment horizontal="right"/>
    </xf>
    <xf numFmtId="0" fontId="2" fillId="19" borderId="18" xfId="0" applyFont="1" applyFill="1" applyBorder="1" applyAlignment="1">
      <alignment horizontal="right" wrapText="1"/>
    </xf>
    <xf numFmtId="0" fontId="2" fillId="19" borderId="18" xfId="0" applyFont="1" applyFill="1" applyBorder="1" applyAlignment="1">
      <alignment horizontal="right"/>
    </xf>
    <xf numFmtId="0" fontId="2" fillId="20" borderId="18" xfId="0" applyFont="1" applyFill="1" applyBorder="1" applyAlignment="1">
      <alignment horizontal="right" wrapText="1"/>
    </xf>
    <xf numFmtId="0" fontId="2" fillId="12" borderId="25" xfId="0" applyFont="1" applyFill="1" applyBorder="1"/>
    <xf numFmtId="0" fontId="2" fillId="12" borderId="7" xfId="0" applyFont="1" applyFill="1" applyBorder="1"/>
    <xf numFmtId="0" fontId="2" fillId="12" borderId="25" xfId="0" applyFont="1" applyFill="1" applyBorder="1" applyAlignment="1">
      <alignment vertical="top" wrapText="1"/>
    </xf>
    <xf numFmtId="0" fontId="2" fillId="12" borderId="25" xfId="0" applyFont="1" applyFill="1" applyBorder="1" applyAlignment="1">
      <alignment wrapText="1"/>
    </xf>
    <xf numFmtId="0" fontId="15" fillId="12" borderId="25" xfId="0" applyFont="1" applyFill="1" applyBorder="1" applyAlignment="1">
      <alignment horizontal="left" vertical="top" wrapText="1" readingOrder="1"/>
    </xf>
    <xf numFmtId="0" fontId="15" fillId="12" borderId="0" xfId="0" applyFont="1" applyFill="1" applyBorder="1" applyAlignment="1">
      <alignment horizontal="left" vertical="top" wrapText="1" readingOrder="1"/>
    </xf>
    <xf numFmtId="0" fontId="2" fillId="12" borderId="0" xfId="0" applyFont="1" applyFill="1" applyBorder="1"/>
    <xf numFmtId="0" fontId="2" fillId="12" borderId="10" xfId="0" applyFont="1" applyFill="1" applyBorder="1"/>
    <xf numFmtId="0" fontId="35" fillId="4" borderId="0" xfId="0" applyFont="1" applyFill="1" applyAlignment="1">
      <alignment horizontal="right"/>
    </xf>
    <xf numFmtId="0" fontId="35" fillId="4" borderId="0" xfId="0" applyFont="1" applyFill="1" applyAlignment="1">
      <alignment horizontal="right" wrapText="1"/>
    </xf>
    <xf numFmtId="0" fontId="36" fillId="7" borderId="10" xfId="0" applyFont="1" applyFill="1" applyBorder="1" applyAlignment="1">
      <alignment vertical="center"/>
    </xf>
    <xf numFmtId="0" fontId="36" fillId="7" borderId="11" xfId="0" applyFont="1" applyFill="1" applyBorder="1" applyAlignment="1">
      <alignment horizontal="right" vertical="center"/>
    </xf>
    <xf numFmtId="0" fontId="36" fillId="7" borderId="12" xfId="0" applyFont="1" applyFill="1" applyBorder="1" applyAlignment="1">
      <alignment horizontal="right" vertical="center"/>
    </xf>
    <xf numFmtId="0" fontId="37" fillId="4" borderId="0" xfId="0" applyFont="1" applyFill="1" applyAlignment="1">
      <alignment vertical="center"/>
    </xf>
    <xf numFmtId="0" fontId="37" fillId="4" borderId="13" xfId="0" applyFont="1" applyFill="1" applyBorder="1" applyAlignment="1">
      <alignment horizontal="right" vertical="center"/>
    </xf>
    <xf numFmtId="0" fontId="37" fillId="4" borderId="14" xfId="0" applyFont="1" applyFill="1" applyBorder="1" applyAlignment="1">
      <alignment horizontal="right" vertical="center"/>
    </xf>
    <xf numFmtId="3" fontId="39" fillId="7" borderId="0" xfId="0" applyNumberFormat="1" applyFont="1" applyFill="1" applyAlignment="1">
      <alignment horizontal="right" vertical="center"/>
    </xf>
    <xf numFmtId="0" fontId="39" fillId="7" borderId="0" xfId="0" applyFont="1" applyFill="1" applyAlignment="1">
      <alignment vertical="center"/>
    </xf>
    <xf numFmtId="0" fontId="40" fillId="0" borderId="0" xfId="0" applyFont="1" applyAlignment="1"/>
    <xf numFmtId="3" fontId="39" fillId="0" borderId="15" xfId="0" applyNumberFormat="1" applyFont="1" applyBorder="1" applyAlignment="1">
      <alignment horizontal="right"/>
    </xf>
    <xf numFmtId="3" fontId="8" fillId="0" borderId="2" xfId="0" applyNumberFormat="1" applyFont="1" applyBorder="1" applyAlignment="1">
      <alignment horizontal="right" vertical="center"/>
    </xf>
    <xf numFmtId="3" fontId="8" fillId="0" borderId="3" xfId="0" applyNumberFormat="1" applyFont="1" applyBorder="1" applyAlignment="1">
      <alignment horizontal="right" vertical="center"/>
    </xf>
    <xf numFmtId="3" fontId="8" fillId="0" borderId="5" xfId="0" applyNumberFormat="1" applyFont="1" applyBorder="1" applyAlignment="1">
      <alignment horizontal="right" vertical="center"/>
    </xf>
    <xf numFmtId="3" fontId="8" fillId="0" borderId="6" xfId="0" applyNumberFormat="1" applyFont="1" applyBorder="1" applyAlignment="1">
      <alignment horizontal="right" vertical="center"/>
    </xf>
    <xf numFmtId="0" fontId="39" fillId="0" borderId="26" xfId="0" applyFont="1" applyBorder="1" applyAlignment="1"/>
    <xf numFmtId="3" fontId="39" fillId="0" borderId="26" xfId="0" applyNumberFormat="1" applyFont="1" applyBorder="1" applyAlignment="1">
      <alignment horizontal="right"/>
    </xf>
    <xf numFmtId="0" fontId="39" fillId="0" borderId="15" xfId="0" applyFont="1" applyBorder="1" applyAlignment="1"/>
    <xf numFmtId="0" fontId="41" fillId="4" borderId="0" xfId="0" applyFont="1" applyFill="1" applyAlignment="1"/>
    <xf numFmtId="0" fontId="44" fillId="4" borderId="0" xfId="0" applyFont="1" applyFill="1" applyAlignment="1">
      <alignment horizontal="center"/>
    </xf>
    <xf numFmtId="0" fontId="45" fillId="4" borderId="0" xfId="0" applyFont="1" applyFill="1" applyAlignment="1"/>
    <xf numFmtId="0" fontId="44" fillId="4" borderId="0" xfId="0" applyFont="1" applyFill="1" applyAlignment="1"/>
    <xf numFmtId="0" fontId="42" fillId="4" borderId="0" xfId="0" applyFont="1" applyFill="1" applyAlignment="1">
      <alignment horizontal="right"/>
    </xf>
    <xf numFmtId="0" fontId="47" fillId="4" borderId="0" xfId="0" applyFont="1" applyFill="1" applyAlignment="1">
      <alignment horizontal="right"/>
    </xf>
    <xf numFmtId="3" fontId="39" fillId="0" borderId="20" xfId="0" applyNumberFormat="1" applyFont="1" applyBorder="1" applyAlignment="1">
      <alignment horizontal="right" vertical="center"/>
    </xf>
    <xf numFmtId="3" fontId="39" fillId="0" borderId="19" xfId="0" applyNumberFormat="1" applyFont="1" applyBorder="1" applyAlignment="1">
      <alignment horizontal="right" vertical="center"/>
    </xf>
    <xf numFmtId="0" fontId="10" fillId="7" borderId="18" xfId="0" applyFont="1" applyFill="1" applyBorder="1" applyAlignment="1">
      <alignment vertical="center"/>
    </xf>
    <xf numFmtId="3" fontId="10" fillId="7" borderId="6" xfId="0" applyNumberFormat="1" applyFont="1" applyFill="1" applyBorder="1" applyAlignment="1">
      <alignment horizontal="right" vertical="center"/>
    </xf>
    <xf numFmtId="3" fontId="10" fillId="7" borderId="18" xfId="0" applyNumberFormat="1" applyFont="1" applyFill="1" applyBorder="1" applyAlignment="1">
      <alignment horizontal="right" vertical="center"/>
    </xf>
    <xf numFmtId="0" fontId="1" fillId="0" borderId="17" xfId="0" applyFont="1" applyBorder="1" applyAlignment="1">
      <alignment vertical="center"/>
    </xf>
    <xf numFmtId="3" fontId="1" fillId="0" borderId="3" xfId="0" applyNumberFormat="1" applyFont="1" applyBorder="1" applyAlignment="1">
      <alignment horizontal="right" vertical="center"/>
    </xf>
    <xf numFmtId="3" fontId="1" fillId="0" borderId="17" xfId="0" applyNumberFormat="1" applyFont="1" applyBorder="1" applyAlignment="1">
      <alignment horizontal="right" vertical="center"/>
    </xf>
    <xf numFmtId="0" fontId="1" fillId="0" borderId="18" xfId="0" applyFont="1" applyBorder="1" applyAlignment="1">
      <alignment vertical="center"/>
    </xf>
    <xf numFmtId="3" fontId="1" fillId="0" borderId="6" xfId="0" applyNumberFormat="1" applyFont="1" applyBorder="1" applyAlignment="1">
      <alignment horizontal="right" vertical="center"/>
    </xf>
    <xf numFmtId="3" fontId="1" fillId="0" borderId="18" xfId="0" applyNumberFormat="1" applyFont="1" applyBorder="1" applyAlignment="1">
      <alignment horizontal="right" vertical="center"/>
    </xf>
    <xf numFmtId="0" fontId="39" fillId="0" borderId="19" xfId="0" applyFont="1" applyBorder="1" applyAlignment="1">
      <alignment vertical="center"/>
    </xf>
    <xf numFmtId="0" fontId="35" fillId="4" borderId="4" xfId="0" applyFont="1" applyFill="1" applyBorder="1" applyAlignment="1">
      <alignment vertical="center"/>
    </xf>
    <xf numFmtId="0" fontId="35" fillId="4" borderId="5" xfId="0" applyFont="1" applyFill="1" applyBorder="1" applyAlignment="1">
      <alignment horizontal="right" vertical="center"/>
    </xf>
    <xf numFmtId="0" fontId="35" fillId="4" borderId="6" xfId="0" applyFont="1" applyFill="1" applyBorder="1" applyAlignment="1">
      <alignment horizontal="right" vertical="center"/>
    </xf>
    <xf numFmtId="0" fontId="48" fillId="0" borderId="2" xfId="0" applyFont="1" applyBorder="1" applyAlignment="1">
      <alignment horizontal="right" vertical="center"/>
    </xf>
    <xf numFmtId="0" fontId="48" fillId="0" borderId="5" xfId="0" applyFont="1" applyBorder="1" applyAlignment="1">
      <alignment horizontal="right" vertical="center"/>
    </xf>
    <xf numFmtId="0" fontId="48" fillId="5" borderId="5" xfId="0" applyFont="1" applyFill="1" applyBorder="1" applyAlignment="1">
      <alignment horizontal="right" vertical="center"/>
    </xf>
    <xf numFmtId="0" fontId="30" fillId="0" borderId="24" xfId="0" applyFont="1" applyBorder="1" applyAlignment="1">
      <alignment horizontal="right" vertical="center"/>
    </xf>
    <xf numFmtId="0" fontId="30" fillId="0" borderId="23" xfId="0" applyFont="1" applyBorder="1" applyAlignment="1">
      <alignment vertical="center"/>
    </xf>
    <xf numFmtId="0" fontId="30" fillId="0" borderId="20" xfId="0" applyFont="1" applyBorder="1" applyAlignment="1">
      <alignment horizontal="right" vertical="center"/>
    </xf>
    <xf numFmtId="0" fontId="49" fillId="2" borderId="0" xfId="0" applyFont="1" applyFill="1" applyAlignment="1"/>
    <xf numFmtId="0" fontId="30" fillId="2" borderId="0" xfId="0" applyFont="1" applyFill="1" applyAlignment="1">
      <alignment horizontal="center"/>
    </xf>
    <xf numFmtId="0" fontId="51" fillId="2" borderId="0" xfId="0" applyFont="1" applyFill="1" applyAlignment="1">
      <alignment horizontal="right"/>
    </xf>
    <xf numFmtId="0" fontId="52" fillId="2" borderId="0" xfId="0" applyFont="1" applyFill="1" applyAlignment="1">
      <alignment horizontal="right"/>
    </xf>
    <xf numFmtId="0" fontId="53" fillId="2" borderId="0" xfId="0" applyFont="1" applyFill="1" applyAlignment="1">
      <alignment horizontal="right"/>
    </xf>
    <xf numFmtId="0" fontId="52" fillId="2" borderId="0" xfId="0" applyFont="1" applyFill="1" applyAlignment="1">
      <alignment horizontal="right" wrapText="1"/>
    </xf>
    <xf numFmtId="0" fontId="46" fillId="12" borderId="27" xfId="0" applyFont="1" applyFill="1" applyBorder="1"/>
    <xf numFmtId="0" fontId="12" fillId="0" borderId="1" xfId="0" applyFont="1" applyBorder="1" applyAlignment="1">
      <alignment horizontal="right" vertical="center"/>
    </xf>
    <xf numFmtId="0" fontId="12" fillId="0" borderId="4" xfId="0" applyFont="1" applyBorder="1" applyAlignment="1">
      <alignment horizontal="right" vertical="center"/>
    </xf>
    <xf numFmtId="0" fontId="12" fillId="5" borderId="4" xfId="0" applyFont="1" applyFill="1" applyBorder="1" applyAlignment="1">
      <alignment horizontal="right" vertical="center"/>
    </xf>
    <xf numFmtId="0" fontId="30" fillId="0" borderId="23" xfId="0" applyFont="1" applyBorder="1" applyAlignment="1">
      <alignment horizontal="right" vertical="center"/>
    </xf>
    <xf numFmtId="0" fontId="35" fillId="4" borderId="4" xfId="0" applyFont="1" applyFill="1" applyBorder="1" applyAlignment="1">
      <alignment horizontal="right" vertical="center"/>
    </xf>
    <xf numFmtId="0" fontId="53" fillId="2" borderId="0" xfId="0" applyFont="1" applyFill="1" applyAlignment="1"/>
    <xf numFmtId="0" fontId="46" fillId="12" borderId="28" xfId="0" applyFont="1" applyFill="1" applyBorder="1"/>
    <xf numFmtId="0" fontId="12" fillId="5" borderId="4" xfId="0" applyFont="1" applyFill="1" applyBorder="1" applyAlignment="1">
      <alignment vertical="center"/>
    </xf>
    <xf numFmtId="0" fontId="54" fillId="0" borderId="0" xfId="0" applyFont="1"/>
    <xf numFmtId="0" fontId="55" fillId="0" borderId="0" xfId="0" applyFont="1"/>
    <xf numFmtId="0" fontId="54" fillId="0" borderId="0" xfId="0" applyFont="1" applyAlignment="1"/>
    <xf numFmtId="0" fontId="55" fillId="0" borderId="0" xfId="0" applyFont="1" applyAlignment="1">
      <alignment horizontal="right" wrapText="1"/>
    </xf>
    <xf numFmtId="0" fontId="56" fillId="0" borderId="0" xfId="0" applyFont="1" applyAlignment="1"/>
    <xf numFmtId="0" fontId="55" fillId="0" borderId="0" xfId="0" applyFont="1" applyAlignment="1">
      <alignment horizontal="right"/>
    </xf>
    <xf numFmtId="9" fontId="55" fillId="0" borderId="0" xfId="0" applyNumberFormat="1" applyFont="1" applyAlignment="1">
      <alignment horizontal="right"/>
    </xf>
    <xf numFmtId="9" fontId="21" fillId="6" borderId="0" xfId="0" applyNumberFormat="1" applyFont="1" applyFill="1" applyAlignment="1">
      <alignment horizontal="right" vertical="center"/>
    </xf>
    <xf numFmtId="9" fontId="23" fillId="0" borderId="0" xfId="0" applyNumberFormat="1" applyFont="1"/>
    <xf numFmtId="0" fontId="0" fillId="0" borderId="0" xfId="0"/>
    <xf numFmtId="2" fontId="0" fillId="0" borderId="0" xfId="0" applyNumberFormat="1" applyFont="1" applyAlignment="1"/>
    <xf numFmtId="0" fontId="0" fillId="0" borderId="0" xfId="0" applyFont="1" applyAlignment="1">
      <alignment horizontal="right"/>
    </xf>
    <xf numFmtId="0" fontId="21" fillId="0" borderId="0" xfId="0" applyFont="1" applyAlignment="1"/>
    <xf numFmtId="168" fontId="3" fillId="6" borderId="0" xfId="0" applyNumberFormat="1" applyFont="1" applyFill="1"/>
    <xf numFmtId="168" fontId="57" fillId="0" borderId="0" xfId="0" applyNumberFormat="1" applyFont="1" applyAlignment="1"/>
    <xf numFmtId="0" fontId="57" fillId="0" borderId="0" xfId="0" applyFont="1" applyAlignment="1"/>
    <xf numFmtId="165" fontId="57" fillId="0" borderId="0" xfId="0" applyNumberFormat="1" applyFont="1" applyAlignment="1"/>
    <xf numFmtId="0" fontId="58" fillId="6" borderId="0" xfId="0" applyFont="1" applyFill="1"/>
    <xf numFmtId="9" fontId="59" fillId="0" borderId="0" xfId="0" applyNumberFormat="1" applyFont="1" applyAlignment="1"/>
    <xf numFmtId="167" fontId="2" fillId="0" borderId="0" xfId="0" applyNumberFormat="1" applyFont="1" applyAlignment="1"/>
    <xf numFmtId="0" fontId="4" fillId="23" borderId="0" xfId="0" applyFont="1" applyFill="1" applyBorder="1" applyAlignment="1">
      <alignment horizontal="right" wrapText="1"/>
    </xf>
    <xf numFmtId="0" fontId="4" fillId="23" borderId="0" xfId="0" applyFont="1" applyFill="1" applyBorder="1" applyAlignment="1">
      <alignment horizontal="right"/>
    </xf>
    <xf numFmtId="0" fontId="4" fillId="23" borderId="17" xfId="0" applyFont="1" applyFill="1" applyBorder="1" applyAlignment="1">
      <alignment horizontal="right"/>
    </xf>
    <xf numFmtId="0" fontId="15" fillId="12" borderId="25" xfId="0" applyFont="1" applyFill="1" applyBorder="1" applyAlignment="1">
      <alignment horizontal="left" vertical="top" wrapText="1" readingOrder="1"/>
    </xf>
    <xf numFmtId="0" fontId="15" fillId="12" borderId="0" xfId="0" applyFont="1" applyFill="1" applyBorder="1" applyAlignment="1">
      <alignment horizontal="left" vertical="top" wrapText="1" readingOrder="1"/>
    </xf>
    <xf numFmtId="0" fontId="2" fillId="2" borderId="0" xfId="0" applyFont="1" applyFill="1" applyAlignment="1">
      <alignment horizontal="left" wrapText="1"/>
    </xf>
    <xf numFmtId="0" fontId="2" fillId="2" borderId="0" xfId="0" applyFont="1" applyFill="1" applyAlignment="1">
      <alignment horizontal="left" vertical="top" wrapText="1"/>
    </xf>
    <xf numFmtId="0" fontId="2" fillId="9" borderId="0" xfId="0" applyFont="1" applyFill="1" applyBorder="1" applyAlignment="1">
      <alignment horizontal="right" wrapText="1"/>
    </xf>
    <xf numFmtId="0" fontId="2" fillId="9" borderId="17" xfId="0" applyFont="1" applyFill="1" applyBorder="1" applyAlignment="1">
      <alignment horizontal="right" wrapText="1"/>
    </xf>
    <xf numFmtId="0" fontId="4" fillId="8" borderId="12" xfId="0" applyFont="1" applyFill="1" applyBorder="1" applyAlignment="1">
      <alignment horizontal="right" wrapText="1"/>
    </xf>
    <xf numFmtId="0" fontId="4" fillId="8" borderId="0" xfId="0" applyFont="1" applyFill="1" applyBorder="1" applyAlignment="1">
      <alignment horizontal="right" wrapText="1"/>
    </xf>
    <xf numFmtId="0" fontId="4" fillId="8" borderId="3" xfId="0" applyFont="1" applyFill="1" applyBorder="1" applyAlignment="1">
      <alignment horizontal="right" wrapText="1"/>
    </xf>
    <xf numFmtId="0" fontId="4" fillId="8" borderId="17" xfId="0" applyFont="1" applyFill="1" applyBorder="1" applyAlignment="1">
      <alignment horizontal="right" wrapText="1"/>
    </xf>
    <xf numFmtId="0" fontId="38" fillId="2" borderId="22" xfId="0" applyFont="1" applyFill="1" applyBorder="1" applyAlignment="1">
      <alignment horizontal="center"/>
    </xf>
    <xf numFmtId="0" fontId="46" fillId="0" borderId="21" xfId="0" applyFont="1" applyBorder="1"/>
    <xf numFmtId="0" fontId="50" fillId="2" borderId="21" xfId="0" applyFont="1" applyFill="1" applyBorder="1" applyAlignment="1">
      <alignment horizontal="center"/>
    </xf>
    <xf numFmtId="0" fontId="42" fillId="4" borderId="0" xfId="0" applyFont="1" applyFill="1" applyAlignment="1">
      <alignment horizontal="center"/>
    </xf>
    <xf numFmtId="0" fontId="43" fillId="0" borderId="0" xfId="0" applyFont="1" applyAlignment="1"/>
    <xf numFmtId="0" fontId="44" fillId="4" borderId="16" xfId="0" applyFont="1" applyFill="1" applyBorder="1" applyAlignment="1">
      <alignment horizontal="center"/>
    </xf>
    <xf numFmtId="0" fontId="46" fillId="0" borderId="16" xfId="0" applyFont="1" applyBorder="1"/>
    <xf numFmtId="0" fontId="38" fillId="2" borderId="2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6536D"/>
      <color rgb="FF8BE1E9"/>
      <color rgb="FFC30909"/>
      <color rgb="FFFF8585"/>
      <color rgb="FFB98409"/>
      <color rgb="FF2B7BF4"/>
      <color rgb="FFE2E6EA"/>
      <color rgb="FF108C97"/>
      <color rgb="FFFFC552"/>
      <color rgb="FFADB8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charts/_rels/chart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5.png"/></Relationships>
</file>

<file path=xl/charts/_rels/chart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charts/_rels/chart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2.png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charts/_rels/chart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charts/_rels/chartEx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4.7207275691045068E-2"/>
          <c:y val="5.2743971513718027E-2"/>
          <c:w val="0.90025035142759902"/>
          <c:h val="0.883710318724204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dk1"/>
              </a:solidFill>
            </c:spPr>
            <c:extLst>
              <c:ext xmlns:c16="http://schemas.microsoft.com/office/drawing/2014/chart" uri="{C3380CC4-5D6E-409C-BE32-E72D297353CC}">
                <c16:uniqueId val="{00000001-A164-44E4-BE00-D0E1B9F45C44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A164-44E4-BE00-D0E1B9F45C44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5-A164-44E4-BE00-D0E1B9F45C44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7-A164-44E4-BE00-D0E1B9F45C44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9-A164-44E4-BE00-D0E1B9F45C44}"/>
              </c:ext>
            </c:extLst>
          </c:dPt>
          <c:dPt>
            <c:idx val="5"/>
            <c:bubble3D val="0"/>
            <c:spPr>
              <a:solidFill>
                <a:srgbClr val="8BE1E9"/>
              </a:solidFill>
            </c:spPr>
            <c:extLst>
              <c:ext xmlns:c16="http://schemas.microsoft.com/office/drawing/2014/chart" uri="{C3380CC4-5D6E-409C-BE32-E72D297353CC}">
                <c16:uniqueId val="{0000000B-A164-44E4-BE00-D0E1B9F45C44}"/>
              </c:ext>
            </c:extLst>
          </c:dPt>
          <c:dPt>
            <c:idx val="6"/>
            <c:bubble3D val="0"/>
            <c:spPr>
              <a:solidFill>
                <a:srgbClr val="9694FF"/>
              </a:solidFill>
            </c:spPr>
            <c:extLst>
              <c:ext xmlns:c16="http://schemas.microsoft.com/office/drawing/2014/chart" uri="{C3380CC4-5D6E-409C-BE32-E72D297353CC}">
                <c16:uniqueId val="{0000000D-A164-44E4-BE00-D0E1B9F45C44}"/>
              </c:ext>
            </c:extLst>
          </c:dPt>
          <c:dPt>
            <c:idx val="7"/>
            <c:bubble3D val="0"/>
            <c:spPr>
              <a:solidFill>
                <a:srgbClr val="ADB8C2"/>
              </a:solidFill>
            </c:spPr>
            <c:extLst>
              <c:ext xmlns:c16="http://schemas.microsoft.com/office/drawing/2014/chart" uri="{C3380CC4-5D6E-409C-BE32-E72D297353CC}">
                <c16:uniqueId val="{0000000F-A164-44E4-BE00-D0E1B9F45C44}"/>
              </c:ext>
            </c:extLst>
          </c:dPt>
          <c:dPt>
            <c:idx val="8"/>
            <c:bubble3D val="0"/>
            <c:spPr>
              <a:solidFill>
                <a:srgbClr val="FF8585"/>
              </a:solidFill>
            </c:spPr>
            <c:extLst>
              <c:ext xmlns:c16="http://schemas.microsoft.com/office/drawing/2014/chart" uri="{C3380CC4-5D6E-409C-BE32-E72D297353CC}">
                <c16:uniqueId val="{00000011-A164-44E4-BE00-D0E1B9F45C44}"/>
              </c:ext>
            </c:extLst>
          </c:dPt>
          <c:dPt>
            <c:idx val="9"/>
            <c:bubble3D val="0"/>
            <c:spPr>
              <a:solidFill>
                <a:srgbClr val="108C97"/>
              </a:solidFill>
            </c:spPr>
            <c:extLst>
              <c:ext xmlns:c16="http://schemas.microsoft.com/office/drawing/2014/chart" uri="{C3380CC4-5D6E-409C-BE32-E72D297353CC}">
                <c16:uniqueId val="{00000013-A164-44E4-BE00-D0E1B9F45C44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4-A164-44E4-BE00-D0E1B9F45C44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5-A164-44E4-BE00-D0E1B9F45C44}"/>
              </c:ext>
            </c:extLst>
          </c:dPt>
          <c:cat>
            <c:strRef>
              <c:f>'Graf. Anillas'!$F$71:$F$82</c:f>
              <c:strCache>
                <c:ptCount val="10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  <c:pt idx="5">
                  <c:v>Serie 6</c:v>
                </c:pt>
                <c:pt idx="6">
                  <c:v>Serie 7</c:v>
                </c:pt>
                <c:pt idx="7">
                  <c:v>Serie 8</c:v>
                </c:pt>
                <c:pt idx="8">
                  <c:v>Serie 9</c:v>
                </c:pt>
                <c:pt idx="9">
                  <c:v>Serie 10</c:v>
                </c:pt>
              </c:strCache>
            </c:strRef>
          </c:cat>
          <c:val>
            <c:numRef>
              <c:f>'Graf. Anillas'!$G$71:$G$82</c:f>
              <c:numCache>
                <c:formatCode>0%</c:formatCode>
                <c:ptCount val="12"/>
                <c:pt idx="0">
                  <c:v>0.19</c:v>
                </c:pt>
                <c:pt idx="1">
                  <c:v>0.13</c:v>
                </c:pt>
                <c:pt idx="2">
                  <c:v>0.1</c:v>
                </c:pt>
                <c:pt idx="3">
                  <c:v>0.09</c:v>
                </c:pt>
                <c:pt idx="4">
                  <c:v>0.08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164-44E4-BE00-D0E1B9F45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solidFill>
          <a:srgbClr val="FFFFFF"/>
        </a:solidFill>
      </c:spPr>
    </c:plotArea>
    <c:plotVisOnly val="1"/>
    <c:dispBlanksAs val="zero"/>
    <c:showDLblsOverMax val="1"/>
  </c:chart>
  <c:spPr>
    <a:solidFill>
      <a:srgbClr val="FFFFFF">
        <a:alpha val="0"/>
      </a:srgb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4.7207275691045068E-2"/>
          <c:y val="5.2743971513718027E-2"/>
          <c:w val="0.90025035142759902"/>
          <c:h val="0.883710318724204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dk1"/>
              </a:solidFill>
            </c:spPr>
            <c:extLst>
              <c:ext xmlns:c16="http://schemas.microsoft.com/office/drawing/2014/chart" uri="{C3380CC4-5D6E-409C-BE32-E72D297353CC}">
                <c16:uniqueId val="{00000001-5640-41EE-8442-B825B7C600F4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5640-41EE-8442-B825B7C600F4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5-5640-41EE-8442-B825B7C600F4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7-5640-41EE-8442-B825B7C600F4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9-5640-41EE-8442-B825B7C600F4}"/>
              </c:ext>
            </c:extLst>
          </c:dPt>
          <c:dPt>
            <c:idx val="5"/>
            <c:bubble3D val="0"/>
            <c:spPr>
              <a:solidFill>
                <a:srgbClr val="8BE1E9"/>
              </a:solidFill>
            </c:spPr>
            <c:extLst>
              <c:ext xmlns:c16="http://schemas.microsoft.com/office/drawing/2014/chart" uri="{C3380CC4-5D6E-409C-BE32-E72D297353CC}">
                <c16:uniqueId val="{0000000B-5640-41EE-8442-B825B7C600F4}"/>
              </c:ext>
            </c:extLst>
          </c:dPt>
          <c:cat>
            <c:strRef>
              <c:f>'Graf. Anillas'!$F$50:$F$55</c:f>
              <c:strCache>
                <c:ptCount val="6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  <c:pt idx="5">
                  <c:v>Serie 6</c:v>
                </c:pt>
              </c:strCache>
            </c:strRef>
          </c:cat>
          <c:val>
            <c:numRef>
              <c:f>'Graf. Anillas'!$G$50:$G$55</c:f>
              <c:numCache>
                <c:formatCode>0%</c:formatCode>
                <c:ptCount val="6"/>
                <c:pt idx="0">
                  <c:v>0.45</c:v>
                </c:pt>
                <c:pt idx="1">
                  <c:v>0.21</c:v>
                </c:pt>
                <c:pt idx="2">
                  <c:v>0.1</c:v>
                </c:pt>
                <c:pt idx="3">
                  <c:v>0.08</c:v>
                </c:pt>
                <c:pt idx="4">
                  <c:v>0.08</c:v>
                </c:pt>
                <c:pt idx="5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40-41EE-8442-B825B7C60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solidFill>
          <a:srgbClr val="FFFFFF"/>
        </a:solidFill>
      </c:spPr>
    </c:plotArea>
    <c:plotVisOnly val="1"/>
    <c:dispBlanksAs val="zero"/>
    <c:showDLblsOverMax val="1"/>
  </c:chart>
  <c:spPr>
    <a:solidFill>
      <a:srgbClr val="FFFFFF">
        <a:alpha val="0"/>
      </a:srgb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4.7207275691045068E-2"/>
          <c:y val="5.2743971513718027E-2"/>
          <c:w val="0.90025035142759902"/>
          <c:h val="0.883710318724204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dk1"/>
              </a:solidFill>
            </c:spPr>
            <c:extLst>
              <c:ext xmlns:c16="http://schemas.microsoft.com/office/drawing/2014/chart" uri="{C3380CC4-5D6E-409C-BE32-E72D297353CC}">
                <c16:uniqueId val="{00000001-C30B-437C-B129-08605F248B90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C30B-437C-B129-08605F248B90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5-C30B-437C-B129-08605F248B90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7-C30B-437C-B129-08605F248B90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9-C30B-437C-B129-08605F248B90}"/>
              </c:ext>
            </c:extLst>
          </c:dPt>
          <c:dPt>
            <c:idx val="5"/>
            <c:bubble3D val="0"/>
            <c:spPr>
              <a:solidFill>
                <a:srgbClr val="8BE1E9"/>
              </a:solidFill>
            </c:spPr>
            <c:extLst>
              <c:ext xmlns:c16="http://schemas.microsoft.com/office/drawing/2014/chart" uri="{C3380CC4-5D6E-409C-BE32-E72D297353CC}">
                <c16:uniqueId val="{0000000B-C30B-437C-B129-08605F248B90}"/>
              </c:ext>
            </c:extLst>
          </c:dPt>
          <c:dPt>
            <c:idx val="6"/>
            <c:bubble3D val="0"/>
            <c:spPr>
              <a:solidFill>
                <a:srgbClr val="9694FF"/>
              </a:solidFill>
            </c:spPr>
            <c:extLst>
              <c:ext xmlns:c16="http://schemas.microsoft.com/office/drawing/2014/chart" uri="{C3380CC4-5D6E-409C-BE32-E72D297353CC}">
                <c16:uniqueId val="{0000000D-C30B-437C-B129-08605F248B90}"/>
              </c:ext>
            </c:extLst>
          </c:dPt>
          <c:dPt>
            <c:idx val="7"/>
            <c:bubble3D val="0"/>
            <c:spPr>
              <a:solidFill>
                <a:srgbClr val="ADB8C2"/>
              </a:solidFill>
            </c:spPr>
            <c:extLst>
              <c:ext xmlns:c16="http://schemas.microsoft.com/office/drawing/2014/chart" uri="{C3380CC4-5D6E-409C-BE32-E72D297353CC}">
                <c16:uniqueId val="{0000000F-C30B-437C-B129-08605F248B90}"/>
              </c:ext>
            </c:extLst>
          </c:dPt>
          <c:cat>
            <c:strRef>
              <c:f>'Graf. Anillas'!$N$50:$N$57</c:f>
              <c:strCache>
                <c:ptCount val="8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  <c:pt idx="5">
                  <c:v>Serie 6</c:v>
                </c:pt>
                <c:pt idx="6">
                  <c:v>Serie 7</c:v>
                </c:pt>
                <c:pt idx="7">
                  <c:v>Serie 8</c:v>
                </c:pt>
              </c:strCache>
            </c:strRef>
          </c:cat>
          <c:val>
            <c:numRef>
              <c:f>'Graf. Anillas'!$O$50:$O$57</c:f>
              <c:numCache>
                <c:formatCode>0%</c:formatCode>
                <c:ptCount val="8"/>
                <c:pt idx="0">
                  <c:v>0.26</c:v>
                </c:pt>
                <c:pt idx="1">
                  <c:v>0.37</c:v>
                </c:pt>
                <c:pt idx="2">
                  <c:v>0.1</c:v>
                </c:pt>
                <c:pt idx="3">
                  <c:v>0.1</c:v>
                </c:pt>
                <c:pt idx="4">
                  <c:v>7.0000000000000007E-2</c:v>
                </c:pt>
                <c:pt idx="5">
                  <c:v>0.04</c:v>
                </c:pt>
                <c:pt idx="6">
                  <c:v>0.03</c:v>
                </c:pt>
                <c:pt idx="7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30B-437C-B129-08605F248B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solidFill>
          <a:srgbClr val="FFFFFF"/>
        </a:solidFill>
      </c:spPr>
    </c:plotArea>
    <c:plotVisOnly val="1"/>
    <c:dispBlanksAs val="zero"/>
    <c:showDLblsOverMax val="1"/>
  </c:chart>
  <c:spPr>
    <a:solidFill>
      <a:srgbClr val="FFFFFF">
        <a:alpha val="0"/>
      </a:srgb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4.7207275691045068E-2"/>
          <c:y val="5.2743971513718027E-2"/>
          <c:w val="0.90025035142759902"/>
          <c:h val="0.883710318724204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dk1"/>
              </a:solidFill>
            </c:spPr>
            <c:extLst>
              <c:ext xmlns:c16="http://schemas.microsoft.com/office/drawing/2014/chart" uri="{C3380CC4-5D6E-409C-BE32-E72D297353CC}">
                <c16:uniqueId val="{00000001-742A-4AFB-B428-7CE817EF4369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742A-4AFB-B428-7CE817EF4369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5-742A-4AFB-B428-7CE817EF4369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7-742A-4AFB-B428-7CE817EF4369}"/>
              </c:ext>
            </c:extLst>
          </c:dPt>
          <c:cat>
            <c:strRef>
              <c:f>'Graf. Anillas'!$F$27:$F$30</c:f>
              <c:strCache>
                <c:ptCount val="4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</c:strCache>
            </c:strRef>
          </c:cat>
          <c:val>
            <c:numRef>
              <c:f>'Graf. Anillas'!$G$27:$G$30</c:f>
              <c:numCache>
                <c:formatCode>0%</c:formatCode>
                <c:ptCount val="4"/>
                <c:pt idx="0">
                  <c:v>0.33</c:v>
                </c:pt>
                <c:pt idx="1">
                  <c:v>0.3</c:v>
                </c:pt>
                <c:pt idx="2">
                  <c:v>0.2</c:v>
                </c:pt>
                <c:pt idx="3">
                  <c:v>0.17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2A-4AFB-B428-7CE817EF4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solidFill>
          <a:srgbClr val="FFFFFF"/>
        </a:solidFill>
      </c:spPr>
    </c:plotArea>
    <c:plotVisOnly val="1"/>
    <c:dispBlanksAs val="zero"/>
    <c:showDLblsOverMax val="1"/>
  </c:chart>
  <c:spPr>
    <a:solidFill>
      <a:srgbClr val="FFFFFF">
        <a:alpha val="0"/>
      </a:srgb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4.7207275691045068E-2"/>
          <c:y val="5.2743971513718027E-2"/>
          <c:w val="0.90025035142759902"/>
          <c:h val="0.883710318724204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dk1"/>
              </a:solidFill>
            </c:spPr>
            <c:extLst>
              <c:ext xmlns:c16="http://schemas.microsoft.com/office/drawing/2014/chart" uri="{C3380CC4-5D6E-409C-BE32-E72D297353CC}">
                <c16:uniqueId val="{00000001-23F5-46F1-AE3E-DFB73E548E83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23F5-46F1-AE3E-DFB73E548E83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5-23F5-46F1-AE3E-DFB73E548E83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7-23F5-46F1-AE3E-DFB73E548E83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9-23F5-46F1-AE3E-DFB73E548E83}"/>
              </c:ext>
            </c:extLst>
          </c:dPt>
          <c:cat>
            <c:strRef>
              <c:f>'Graf. Anillas'!$N$27:$N$31</c:f>
              <c:strCache>
                <c:ptCount val="5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</c:strCache>
            </c:strRef>
          </c:cat>
          <c:val>
            <c:numRef>
              <c:f>'Graf. Anillas'!$O$27:$O$31</c:f>
              <c:numCache>
                <c:formatCode>0%</c:formatCode>
                <c:ptCount val="5"/>
                <c:pt idx="0">
                  <c:v>0.45</c:v>
                </c:pt>
                <c:pt idx="1">
                  <c:v>0.32</c:v>
                </c:pt>
                <c:pt idx="2">
                  <c:v>0.1</c:v>
                </c:pt>
                <c:pt idx="3">
                  <c:v>0.09</c:v>
                </c:pt>
                <c:pt idx="4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3F5-46F1-AE3E-DFB73E548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solidFill>
          <a:srgbClr val="FFFFFF"/>
        </a:solidFill>
      </c:spPr>
    </c:plotArea>
    <c:plotVisOnly val="1"/>
    <c:dispBlanksAs val="zero"/>
    <c:showDLblsOverMax val="1"/>
  </c:chart>
  <c:spPr>
    <a:solidFill>
      <a:srgbClr val="FFFFFF">
        <a:alpha val="0"/>
      </a:srgb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4.7207275691045068E-2"/>
          <c:y val="5.2743971513718027E-2"/>
          <c:w val="0.90025035142759902"/>
          <c:h val="0.883710318724204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dk1"/>
              </a:solidFill>
            </c:spPr>
            <c:extLst>
              <c:ext xmlns:c16="http://schemas.microsoft.com/office/drawing/2014/chart" uri="{C3380CC4-5D6E-409C-BE32-E72D297353CC}">
                <c16:uniqueId val="{00000001-5B28-42B6-A601-48B30401ADC0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5B28-42B6-A601-48B30401ADC0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5-5B28-42B6-A601-48B30401ADC0}"/>
              </c:ext>
            </c:extLst>
          </c:dPt>
          <c:cat>
            <c:strRef>
              <c:f>'Graf. Anillas'!$N$5:$N$7</c:f>
              <c:strCache>
                <c:ptCount val="3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</c:strCache>
            </c:strRef>
          </c:cat>
          <c:val>
            <c:numRef>
              <c:f>'Graf. Anillas'!$O$5:$O$7</c:f>
              <c:numCache>
                <c:formatCode>0%</c:formatCode>
                <c:ptCount val="3"/>
                <c:pt idx="0">
                  <c:v>0.5</c:v>
                </c:pt>
                <c:pt idx="1">
                  <c:v>0.3</c:v>
                </c:pt>
                <c:pt idx="2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B28-42B6-A601-48B30401AD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solidFill>
          <a:srgbClr val="FFFFFF"/>
        </a:solidFill>
      </c:spPr>
    </c:plotArea>
    <c:plotVisOnly val="1"/>
    <c:dispBlanksAs val="zero"/>
    <c:showDLblsOverMax val="1"/>
  </c:chart>
  <c:spPr>
    <a:solidFill>
      <a:srgbClr val="FFFFFF">
        <a:alpha val="0"/>
      </a:srgb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4.7207275691045068E-2"/>
          <c:y val="5.2743971513718027E-2"/>
          <c:w val="0.90025035142759902"/>
          <c:h val="0.883710318724204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dk1"/>
              </a:solidFill>
            </c:spPr>
            <c:extLst>
              <c:ext xmlns:c16="http://schemas.microsoft.com/office/drawing/2014/chart" uri="{C3380CC4-5D6E-409C-BE32-E72D297353CC}">
                <c16:uniqueId val="{00000001-9480-4942-BA04-5CF313E067F8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9480-4942-BA04-5CF313E067F8}"/>
              </c:ext>
            </c:extLst>
          </c:dPt>
          <c:cat>
            <c:strRef>
              <c:f>'Graf. Anillas'!$F$5:$F$6</c:f>
              <c:strCache>
                <c:ptCount val="2"/>
                <c:pt idx="0">
                  <c:v>Serie 1</c:v>
                </c:pt>
                <c:pt idx="1">
                  <c:v>Serie 2</c:v>
                </c:pt>
              </c:strCache>
            </c:strRef>
          </c:cat>
          <c:val>
            <c:numRef>
              <c:f>'Graf. Anillas'!$G$5:$G$6</c:f>
              <c:numCache>
                <c:formatCode>0%</c:formatCode>
                <c:ptCount val="2"/>
                <c:pt idx="0">
                  <c:v>0.5</c:v>
                </c:pt>
                <c:pt idx="1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80-4942-BA04-5CF313E067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solidFill>
          <a:srgbClr val="FFFFFF"/>
        </a:solidFill>
      </c:spPr>
    </c:plotArea>
    <c:plotVisOnly val="1"/>
    <c:dispBlanksAs val="zero"/>
    <c:showDLblsOverMax val="1"/>
  </c:chart>
  <c:spPr>
    <a:solidFill>
      <a:srgbClr val="FFFFFF">
        <a:alpha val="0"/>
      </a:srgb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4.7207275691045068E-2"/>
          <c:y val="5.2743971513718027E-2"/>
          <c:w val="0.90025035142759902"/>
          <c:h val="0.8837103187242049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tx1"/>
              </a:solidFill>
            </c:spPr>
            <c:extLst>
              <c:ext xmlns:c16="http://schemas.microsoft.com/office/drawing/2014/chart" uri="{C3380CC4-5D6E-409C-BE32-E72D297353CC}">
                <c16:uniqueId val="{00000001-A194-4A82-85DA-359EBC7DE955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A194-4A82-85DA-359EBC7DE955}"/>
              </c:ext>
            </c:extLst>
          </c:dPt>
          <c:dPt>
            <c:idx val="2"/>
            <c:bubble3D val="0"/>
            <c:spPr>
              <a:solidFill>
                <a:schemeClr val="accent5"/>
              </a:solidFill>
            </c:spPr>
            <c:extLst>
              <c:ext xmlns:c16="http://schemas.microsoft.com/office/drawing/2014/chart" uri="{C3380CC4-5D6E-409C-BE32-E72D297353CC}">
                <c16:uniqueId val="{00000005-A194-4A82-85DA-359EBC7DE955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</c:spPr>
            <c:extLst>
              <c:ext xmlns:c16="http://schemas.microsoft.com/office/drawing/2014/chart" uri="{C3380CC4-5D6E-409C-BE32-E72D297353CC}">
                <c16:uniqueId val="{00000007-A194-4A82-85DA-359EBC7DE955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9-A194-4A82-85DA-359EBC7DE955}"/>
              </c:ext>
            </c:extLst>
          </c:dPt>
          <c:dPt>
            <c:idx val="5"/>
            <c:bubble3D val="0"/>
            <c:spPr>
              <a:solidFill>
                <a:srgbClr val="8BE1E9"/>
              </a:solidFill>
            </c:spPr>
            <c:extLst>
              <c:ext xmlns:c16="http://schemas.microsoft.com/office/drawing/2014/chart" uri="{C3380CC4-5D6E-409C-BE32-E72D297353CC}">
                <c16:uniqueId val="{0000000B-A194-4A82-85DA-359EBC7DE955}"/>
              </c:ext>
            </c:extLst>
          </c:dPt>
          <c:dPt>
            <c:idx val="6"/>
            <c:bubble3D val="0"/>
            <c:spPr>
              <a:solidFill>
                <a:srgbClr val="9694FF"/>
              </a:solidFill>
            </c:spPr>
            <c:extLst>
              <c:ext xmlns:c16="http://schemas.microsoft.com/office/drawing/2014/chart" uri="{C3380CC4-5D6E-409C-BE32-E72D297353CC}">
                <c16:uniqueId val="{0000000D-A194-4A82-85DA-359EBC7DE955}"/>
              </c:ext>
            </c:extLst>
          </c:dPt>
          <c:dPt>
            <c:idx val="7"/>
            <c:bubble3D val="0"/>
            <c:spPr>
              <a:solidFill>
                <a:srgbClr val="ADB8C2"/>
              </a:solidFill>
            </c:spPr>
            <c:extLst>
              <c:ext xmlns:c16="http://schemas.microsoft.com/office/drawing/2014/chart" uri="{C3380CC4-5D6E-409C-BE32-E72D297353CC}">
                <c16:uniqueId val="{0000000F-A194-4A82-85DA-359EBC7DE955}"/>
              </c:ext>
            </c:extLst>
          </c:dPt>
          <c:dPt>
            <c:idx val="8"/>
            <c:bubble3D val="0"/>
            <c:spPr>
              <a:solidFill>
                <a:srgbClr val="FF8585"/>
              </a:solidFill>
            </c:spPr>
            <c:extLst>
              <c:ext xmlns:c16="http://schemas.microsoft.com/office/drawing/2014/chart" uri="{C3380CC4-5D6E-409C-BE32-E72D297353CC}">
                <c16:uniqueId val="{00000011-A194-4A82-85DA-359EBC7DE955}"/>
              </c:ext>
            </c:extLst>
          </c:dPt>
          <c:dPt>
            <c:idx val="9"/>
            <c:bubble3D val="0"/>
            <c:spPr>
              <a:solidFill>
                <a:srgbClr val="108C97"/>
              </a:solidFill>
            </c:spPr>
            <c:extLst>
              <c:ext xmlns:c16="http://schemas.microsoft.com/office/drawing/2014/chart" uri="{C3380CC4-5D6E-409C-BE32-E72D297353CC}">
                <c16:uniqueId val="{00000013-A194-4A82-85DA-359EBC7DE955}"/>
              </c:ext>
            </c:extLst>
          </c:dPt>
          <c:dPt>
            <c:idx val="10"/>
            <c:bubble3D val="0"/>
            <c:spPr>
              <a:solidFill>
                <a:srgbClr val="FFC552"/>
              </a:solidFill>
            </c:spPr>
            <c:extLst>
              <c:ext xmlns:c16="http://schemas.microsoft.com/office/drawing/2014/chart" uri="{C3380CC4-5D6E-409C-BE32-E72D297353CC}">
                <c16:uniqueId val="{00000015-A194-4A82-85DA-359EBC7DE955}"/>
              </c:ext>
            </c:extLst>
          </c:dPt>
          <c:dPt>
            <c:idx val="11"/>
            <c:bubble3D val="0"/>
            <c:spPr>
              <a:solidFill>
                <a:srgbClr val="024700"/>
              </a:solidFill>
            </c:spPr>
            <c:extLst>
              <c:ext xmlns:c16="http://schemas.microsoft.com/office/drawing/2014/chart" uri="{C3380CC4-5D6E-409C-BE32-E72D297353CC}">
                <c16:uniqueId val="{00000017-A194-4A82-85DA-359EBC7DE955}"/>
              </c:ext>
            </c:extLst>
          </c:dPt>
          <c:dPt>
            <c:idx val="12"/>
            <c:bubble3D val="0"/>
            <c:spPr>
              <a:solidFill>
                <a:srgbClr val="CAD1D8"/>
              </a:solidFill>
            </c:spPr>
            <c:extLst>
              <c:ext xmlns:c16="http://schemas.microsoft.com/office/drawing/2014/chart" uri="{C3380CC4-5D6E-409C-BE32-E72D297353CC}">
                <c16:uniqueId val="{00000019-A194-4A82-85DA-359EBC7DE955}"/>
              </c:ext>
            </c:extLst>
          </c:dPt>
          <c:dPt>
            <c:idx val="13"/>
            <c:bubble3D val="0"/>
            <c:spPr>
              <a:solidFill>
                <a:srgbClr val="B98409"/>
              </a:solidFill>
            </c:spPr>
            <c:extLst>
              <c:ext xmlns:c16="http://schemas.microsoft.com/office/drawing/2014/chart" uri="{C3380CC4-5D6E-409C-BE32-E72D297353CC}">
                <c16:uniqueId val="{0000001B-A194-4A82-85DA-359EBC7DE955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C-A194-4A82-85DA-359EBC7DE955}"/>
              </c:ext>
            </c:extLst>
          </c:dPt>
          <c:cat>
            <c:strRef>
              <c:f>'Graf. Anillas'!$N$71:$N$85</c:f>
              <c:strCache>
                <c:ptCount val="14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  <c:pt idx="5">
                  <c:v>Serie 6</c:v>
                </c:pt>
                <c:pt idx="6">
                  <c:v>Serie 7</c:v>
                </c:pt>
                <c:pt idx="7">
                  <c:v>Serie 8</c:v>
                </c:pt>
                <c:pt idx="8">
                  <c:v>Serie 9</c:v>
                </c:pt>
                <c:pt idx="9">
                  <c:v>Serie 10</c:v>
                </c:pt>
                <c:pt idx="10">
                  <c:v>Serie 11</c:v>
                </c:pt>
                <c:pt idx="11">
                  <c:v>Serie 12</c:v>
                </c:pt>
                <c:pt idx="12">
                  <c:v>Serie 13</c:v>
                </c:pt>
                <c:pt idx="13">
                  <c:v>Serie 14</c:v>
                </c:pt>
              </c:strCache>
            </c:strRef>
          </c:cat>
          <c:val>
            <c:numRef>
              <c:f>'Graf. Anillas'!$O$71:$O$85</c:f>
              <c:numCache>
                <c:formatCode>0%</c:formatCode>
                <c:ptCount val="15"/>
                <c:pt idx="0">
                  <c:v>0.14000000000000001</c:v>
                </c:pt>
                <c:pt idx="1">
                  <c:v>0.11</c:v>
                </c:pt>
                <c:pt idx="2">
                  <c:v>0.1</c:v>
                </c:pt>
                <c:pt idx="3">
                  <c:v>0.09</c:v>
                </c:pt>
                <c:pt idx="4">
                  <c:v>0.08</c:v>
                </c:pt>
                <c:pt idx="5">
                  <c:v>0.06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7.0000000000000007E-2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A194-4A82-85DA-359EBC7DE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90"/>
      </c:doughnutChart>
      <c:spPr>
        <a:solidFill>
          <a:srgbClr val="FFFFFF"/>
        </a:solidFill>
      </c:spPr>
    </c:plotArea>
    <c:plotVisOnly val="1"/>
    <c:dispBlanksAs val="zero"/>
    <c:showDLblsOverMax val="1"/>
  </c:chart>
  <c:spPr>
    <a:solidFill>
      <a:srgbClr val="FFFFFF">
        <a:alpha val="0"/>
      </a:srgbClr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8.6633663366336572E-3"/>
          <c:y val="0.2536945812807882"/>
          <c:w val="0.98267326732673255"/>
          <c:h val="0.61970967403836075"/>
        </c:manualLayout>
      </c:layout>
      <c:barChart>
        <c:barDir val="col"/>
        <c:grouping val="clustered"/>
        <c:varyColors val="1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7D02-4E81-BC1B-BA3BF52C953E}"/>
              </c:ext>
            </c:extLst>
          </c:dPt>
          <c:dPt>
            <c:idx val="2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7D02-4E81-BC1B-BA3BF52C953E}"/>
              </c:ext>
            </c:extLst>
          </c:dPt>
          <c:dPt>
            <c:idx val="3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7D02-4E81-BC1B-BA3BF52C953E}"/>
              </c:ext>
            </c:extLst>
          </c:dPt>
          <c:dPt>
            <c:idx val="4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7D02-4E81-BC1B-BA3BF52C953E}"/>
              </c:ext>
            </c:extLst>
          </c:dPt>
          <c:dPt>
            <c:idx val="5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4-7D02-4E81-BC1B-BA3BF52C953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lIns="38100" tIns="19050" rIns="38100" bIns="19050">
                <a:spAutoFit/>
              </a:bodyPr>
              <a:lstStyle/>
              <a:p>
                <a:pPr>
                  <a:defRPr sz="1200"/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Colum.'!$B$7:$B$10</c:f>
              <c:strCache>
                <c:ptCount val="4"/>
                <c:pt idx="0">
                  <c:v>Columna 1</c:v>
                </c:pt>
                <c:pt idx="1">
                  <c:v>Columna 2</c:v>
                </c:pt>
                <c:pt idx="2">
                  <c:v>Columna 3</c:v>
                </c:pt>
                <c:pt idx="3">
                  <c:v>Columna 4</c:v>
                </c:pt>
              </c:strCache>
            </c:strRef>
          </c:cat>
          <c:val>
            <c:numRef>
              <c:f>'Graf. Colum.'!$C$7:$C$10</c:f>
              <c:numCache>
                <c:formatCode>0%</c:formatCode>
                <c:ptCount val="4"/>
                <c:pt idx="0">
                  <c:v>0.09</c:v>
                </c:pt>
                <c:pt idx="1">
                  <c:v>0.08</c:v>
                </c:pt>
                <c:pt idx="2">
                  <c:v>0.1</c:v>
                </c:pt>
                <c:pt idx="3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D02-4E81-BC1B-BA3BF52C9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0"/>
        <c:axId val="2094097201"/>
        <c:axId val="187905177"/>
      </c:barChart>
      <c:catAx>
        <c:axId val="20940972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900" b="1">
                <a:latin typeface="BBVABentonSansLight" panose="00000000000000020000" pitchFamily="2" charset="0"/>
              </a:defRPr>
            </a:pPr>
            <a:endParaRPr lang="es-ES"/>
          </a:p>
        </c:txPr>
        <c:crossAx val="187905177"/>
        <c:crosses val="autoZero"/>
        <c:auto val="1"/>
        <c:lblAlgn val="ctr"/>
        <c:lblOffset val="100"/>
        <c:noMultiLvlLbl val="1"/>
      </c:catAx>
      <c:valAx>
        <c:axId val="187905177"/>
        <c:scaling>
          <c:orientation val="minMax"/>
        </c:scaling>
        <c:delete val="0"/>
        <c:axPos val="l"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one"/>
        <c:spPr>
          <a:ln>
            <a:noFill/>
          </a:ln>
        </c:spPr>
        <c:crossAx val="2094097201"/>
        <c:crosses val="autoZero"/>
        <c:crossBetween val="between"/>
      </c:valAx>
      <c:spPr>
        <a:ln>
          <a:noFill/>
        </a:ln>
      </c:spPr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3.4469788050687213E-2"/>
          <c:y val="9.148958507846093E-2"/>
          <c:w val="0.9367951909237151"/>
          <c:h val="0.67586798458703301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'Graf. Colum.'!$N$7</c:f>
              <c:strCache>
                <c:ptCount val="1"/>
                <c:pt idx="0">
                  <c:v>Last year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1"/>
          <c:dPt>
            <c:idx val="2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F81E-424C-A46F-9E182CA34014}"/>
              </c:ext>
            </c:extLst>
          </c:dPt>
          <c:dPt>
            <c:idx val="3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F81E-424C-A46F-9E182CA340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lIns="38100" tIns="19050" rIns="38100" bIns="19050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Colum.'!$M$8:$M$11</c:f>
              <c:strCache>
                <c:ptCount val="4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</c:strCache>
            </c:strRef>
          </c:cat>
          <c:val>
            <c:numRef>
              <c:f>'Graf. Colum.'!$N$8:$N$11</c:f>
              <c:numCache>
                <c:formatCode>0%</c:formatCode>
                <c:ptCount val="4"/>
                <c:pt idx="0">
                  <c:v>0.09</c:v>
                </c:pt>
                <c:pt idx="1">
                  <c:v>0.08</c:v>
                </c:pt>
                <c:pt idx="2">
                  <c:v>0.1</c:v>
                </c:pt>
                <c:pt idx="3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1E-424C-A46F-9E182CA34014}"/>
            </c:ext>
          </c:extLst>
        </c:ser>
        <c:ser>
          <c:idx val="1"/>
          <c:order val="1"/>
          <c:tx>
            <c:strRef>
              <c:f>'Graf. Colum.'!$O$7</c:f>
              <c:strCache>
                <c:ptCount val="1"/>
                <c:pt idx="0">
                  <c:v>This year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F81E-424C-A46F-9E182CA34014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4-F81E-424C-A46F-9E182CA34014}"/>
              </c:ext>
            </c:extLst>
          </c:dPt>
          <c:dPt>
            <c:idx val="2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5-F81E-424C-A46F-9E182CA34014}"/>
              </c:ext>
            </c:extLst>
          </c:dPt>
          <c:dPt>
            <c:idx val="3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F81E-424C-A46F-9E182CA3401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lIns="38100" tIns="19050" rIns="38100" bIns="19050">
                <a:spAutoFit/>
              </a:bodyPr>
              <a:lstStyle/>
              <a:p>
                <a:pPr>
                  <a:defRPr>
                    <a:solidFill>
                      <a:srgbClr val="2B7BF4"/>
                    </a:solidFill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Colum.'!$M$8:$M$11</c:f>
              <c:strCache>
                <c:ptCount val="4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</c:strCache>
            </c:strRef>
          </c:cat>
          <c:val>
            <c:numRef>
              <c:f>'Graf. Colum.'!$O$8:$O$11</c:f>
              <c:numCache>
                <c:formatCode>0%</c:formatCode>
                <c:ptCount val="4"/>
                <c:pt idx="0">
                  <c:v>0.11</c:v>
                </c:pt>
                <c:pt idx="1">
                  <c:v>0.06</c:v>
                </c:pt>
                <c:pt idx="2">
                  <c:v>0.08</c:v>
                </c:pt>
                <c:pt idx="3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81E-424C-A46F-9E182CA34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27"/>
        <c:overlap val="-14"/>
        <c:axId val="2014437489"/>
        <c:axId val="1841967684"/>
      </c:barChart>
      <c:catAx>
        <c:axId val="201443748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80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841967684"/>
        <c:crosses val="autoZero"/>
        <c:auto val="1"/>
        <c:lblAlgn val="ctr"/>
        <c:lblOffset val="100"/>
        <c:noMultiLvlLbl val="1"/>
      </c:catAx>
      <c:valAx>
        <c:axId val="1841967684"/>
        <c:scaling>
          <c:orientation val="minMax"/>
        </c:scaling>
        <c:delete val="0"/>
        <c:axPos val="l"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one"/>
        <c:spPr>
          <a:ln>
            <a:noFill/>
          </a:ln>
        </c:spPr>
        <c:crossAx val="2014437489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1819320971975278E-2"/>
          <c:y val="0.89287943262411362"/>
          <c:w val="0.30334614624784806"/>
          <c:h val="0.10144680851063829"/>
        </c:manualLayout>
      </c:layout>
      <c:overlay val="0"/>
      <c:txPr>
        <a:bodyPr/>
        <a:lstStyle/>
        <a:p>
          <a:pPr>
            <a:defRPr sz="800">
              <a:solidFill>
                <a:srgbClr val="46536D"/>
              </a:solidFill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2.9875447387258412E-2"/>
          <c:y val="6.2766119752272351E-2"/>
          <c:w val="0.94327940825578616"/>
          <c:h val="0.77038697748988272"/>
        </c:manualLayout>
      </c:layout>
      <c:barChart>
        <c:barDir val="col"/>
        <c:grouping val="clustered"/>
        <c:varyColors val="1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lIns="38100" tIns="19050" rIns="38100" bIns="19050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'Graf. Colum.'!$B$28:$B$35</c:f>
              <c:numCache>
                <c:formatCode>General</c:formatCod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</c:numCache>
            </c:numRef>
          </c:cat>
          <c:val>
            <c:numRef>
              <c:f>'Graf. Colum.'!$C$28:$C$35</c:f>
              <c:numCache>
                <c:formatCode>0%</c:formatCode>
                <c:ptCount val="8"/>
                <c:pt idx="0">
                  <c:v>0.03</c:v>
                </c:pt>
                <c:pt idx="1">
                  <c:v>0.08</c:v>
                </c:pt>
                <c:pt idx="2">
                  <c:v>7.0000000000000007E-2</c:v>
                </c:pt>
                <c:pt idx="3">
                  <c:v>0.15</c:v>
                </c:pt>
                <c:pt idx="4">
                  <c:v>0.25</c:v>
                </c:pt>
                <c:pt idx="5">
                  <c:v>0.2</c:v>
                </c:pt>
                <c:pt idx="6">
                  <c:v>0.24</c:v>
                </c:pt>
                <c:pt idx="7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77-492B-9AA7-94568D726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axId val="1283436455"/>
        <c:axId val="1457580607"/>
      </c:barChart>
      <c:catAx>
        <c:axId val="12834364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900" b="1">
                <a:latin typeface="BBVABentonSansLight" panose="00000000000000020000" pitchFamily="2" charset="0"/>
              </a:defRPr>
            </a:pPr>
            <a:endParaRPr lang="es-ES"/>
          </a:p>
        </c:txPr>
        <c:crossAx val="1457580607"/>
        <c:crosses val="autoZero"/>
        <c:auto val="1"/>
        <c:lblAlgn val="ctr"/>
        <c:lblOffset val="100"/>
        <c:noMultiLvlLbl val="1"/>
      </c:catAx>
      <c:valAx>
        <c:axId val="1457580607"/>
        <c:scaling>
          <c:orientation val="minMax"/>
        </c:scaling>
        <c:delete val="0"/>
        <c:axPos val="l"/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one"/>
        <c:spPr>
          <a:ln>
            <a:noFill/>
          </a:ln>
        </c:spPr>
        <c:crossAx val="1283436455"/>
        <c:crosses val="autoZero"/>
        <c:crossBetween val="between"/>
      </c:valAx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3.1304907641261821E-2"/>
          <c:y val="6.2765868552145263E-2"/>
          <c:w val="0.96003169415143863"/>
          <c:h val="0.81720584926884154"/>
        </c:manualLayout>
      </c:layout>
      <c:barChart>
        <c:barDir val="col"/>
        <c:grouping val="clustered"/>
        <c:varyColors val="1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</c:spPr>
          <c:invertIfNegative val="1"/>
          <c:dPt>
            <c:idx val="4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42F8-433D-B4D8-0036979E26A4}"/>
              </c:ext>
            </c:extLst>
          </c:dPt>
          <c:dPt>
            <c:idx val="6"/>
            <c:invertIfNegative val="1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42F8-433D-B4D8-0036979E26A4}"/>
              </c:ext>
            </c:extLst>
          </c:dPt>
          <c:dPt>
            <c:idx val="7"/>
            <c:invertIfNegative val="1"/>
            <c:bubble3D val="0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42F8-433D-B4D8-0036979E26A4}"/>
              </c:ext>
            </c:extLst>
          </c:dPt>
          <c:dLbls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050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42F8-433D-B4D8-0036979E26A4}"/>
                </c:ext>
              </c:extLst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1050"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2F8-433D-B4D8-0036979E26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50"/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Colum.'!$B$46:$B$53</c:f>
              <c:strCache>
                <c:ptCount val="8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Average</c:v>
                </c:pt>
                <c:pt idx="7">
                  <c:v>Target</c:v>
                </c:pt>
              </c:strCache>
            </c:strRef>
          </c:cat>
          <c:val>
            <c:numRef>
              <c:f>'Graf. Colum.'!$C$46:$C$53</c:f>
              <c:numCache>
                <c:formatCode>0%</c:formatCode>
                <c:ptCount val="8"/>
                <c:pt idx="0">
                  <c:v>0.13</c:v>
                </c:pt>
                <c:pt idx="1">
                  <c:v>0.11</c:v>
                </c:pt>
                <c:pt idx="2">
                  <c:v>0.1</c:v>
                </c:pt>
                <c:pt idx="3">
                  <c:v>0.15</c:v>
                </c:pt>
                <c:pt idx="4">
                  <c:v>0.25</c:v>
                </c:pt>
                <c:pt idx="5">
                  <c:v>0.2</c:v>
                </c:pt>
                <c:pt idx="6">
                  <c:v>0.16</c:v>
                </c:pt>
                <c:pt idx="7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F8-433D-B4D8-0036979E2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5"/>
        <c:axId val="1393588864"/>
        <c:axId val="1543528916"/>
      </c:barChart>
      <c:catAx>
        <c:axId val="1393588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0" b="1">
                <a:latin typeface="BBVABentonSansLight" panose="00000000000000020000" pitchFamily="2" charset="0"/>
              </a:defRPr>
            </a:pPr>
            <a:endParaRPr lang="es-ES"/>
          </a:p>
        </c:txPr>
        <c:crossAx val="1543528916"/>
        <c:crosses val="autoZero"/>
        <c:auto val="1"/>
        <c:lblAlgn val="ctr"/>
        <c:lblOffset val="100"/>
        <c:noMultiLvlLbl val="1"/>
      </c:catAx>
      <c:valAx>
        <c:axId val="15435289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393588864"/>
        <c:crosses val="autoZero"/>
        <c:crossBetween val="between"/>
      </c:valAx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6.1343593414459559E-2"/>
          <c:y val="8.3191601049868766E-2"/>
          <c:w val="0.93865640658554039"/>
          <c:h val="0.60778734573071969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'Graf. Colum.'!$N$28</c:f>
              <c:strCache>
                <c:ptCount val="1"/>
                <c:pt idx="0">
                  <c:v>Serie A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 cmpd="sng">
              <a:noFill/>
            </a:ln>
          </c:spPr>
          <c:invertIfNegative val="1"/>
          <c:cat>
            <c:strRef>
              <c:f>'Graf. Colum.'!$M$29:$M$36</c:f>
              <c:strCache>
                <c:ptCount val="8"/>
                <c:pt idx="0">
                  <c:v>Area 1</c:v>
                </c:pt>
                <c:pt idx="1">
                  <c:v>Area 2</c:v>
                </c:pt>
                <c:pt idx="2">
                  <c:v>Area 3</c:v>
                </c:pt>
                <c:pt idx="3">
                  <c:v>Area 4</c:v>
                </c:pt>
                <c:pt idx="4">
                  <c:v>Area 5</c:v>
                </c:pt>
                <c:pt idx="5">
                  <c:v>Area 6</c:v>
                </c:pt>
                <c:pt idx="6">
                  <c:v>Area 7</c:v>
                </c:pt>
                <c:pt idx="7">
                  <c:v>Area 8</c:v>
                </c:pt>
              </c:strCache>
            </c:strRef>
          </c:cat>
          <c:val>
            <c:numRef>
              <c:f>'Graf. Colum.'!$N$29:$N$36</c:f>
              <c:numCache>
                <c:formatCode>0%</c:formatCode>
                <c:ptCount val="8"/>
                <c:pt idx="0">
                  <c:v>0.09</c:v>
                </c:pt>
                <c:pt idx="1">
                  <c:v>0.08</c:v>
                </c:pt>
                <c:pt idx="2">
                  <c:v>0.1</c:v>
                </c:pt>
                <c:pt idx="3">
                  <c:v>0.09</c:v>
                </c:pt>
                <c:pt idx="4">
                  <c:v>9.5000000000000001E-2</c:v>
                </c:pt>
                <c:pt idx="5">
                  <c:v>0.11</c:v>
                </c:pt>
                <c:pt idx="6">
                  <c:v>0.12</c:v>
                </c:pt>
                <c:pt idx="7">
                  <c:v>0.10100000000000001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11-47E9-80CD-19CDED2976B7}"/>
            </c:ext>
          </c:extLst>
        </c:ser>
        <c:ser>
          <c:idx val="1"/>
          <c:order val="1"/>
          <c:tx>
            <c:strRef>
              <c:f>'Graf. Colum.'!$O$28</c:f>
              <c:strCache>
                <c:ptCount val="1"/>
                <c:pt idx="0">
                  <c:v>Serie B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 cmpd="sng">
              <a:noFill/>
            </a:ln>
          </c:spPr>
          <c:invertIfNegative val="1"/>
          <c:cat>
            <c:strRef>
              <c:f>'Graf. Colum.'!$M$29:$M$36</c:f>
              <c:strCache>
                <c:ptCount val="8"/>
                <c:pt idx="0">
                  <c:v>Area 1</c:v>
                </c:pt>
                <c:pt idx="1">
                  <c:v>Area 2</c:v>
                </c:pt>
                <c:pt idx="2">
                  <c:v>Area 3</c:v>
                </c:pt>
                <c:pt idx="3">
                  <c:v>Area 4</c:v>
                </c:pt>
                <c:pt idx="4">
                  <c:v>Area 5</c:v>
                </c:pt>
                <c:pt idx="5">
                  <c:v>Area 6</c:v>
                </c:pt>
                <c:pt idx="6">
                  <c:v>Area 7</c:v>
                </c:pt>
                <c:pt idx="7">
                  <c:v>Area 8</c:v>
                </c:pt>
              </c:strCache>
            </c:strRef>
          </c:cat>
          <c:val>
            <c:numRef>
              <c:f>'Graf. Colum.'!$O$29:$O$36</c:f>
              <c:numCache>
                <c:formatCode>0%</c:formatCode>
                <c:ptCount val="8"/>
                <c:pt idx="0">
                  <c:v>0.11</c:v>
                </c:pt>
                <c:pt idx="1">
                  <c:v>0.06</c:v>
                </c:pt>
                <c:pt idx="2">
                  <c:v>0.08</c:v>
                </c:pt>
                <c:pt idx="3">
                  <c:v>0.15</c:v>
                </c:pt>
                <c:pt idx="4">
                  <c:v>0.18</c:v>
                </c:pt>
                <c:pt idx="5">
                  <c:v>0.17</c:v>
                </c:pt>
                <c:pt idx="6">
                  <c:v>0.19</c:v>
                </c:pt>
                <c:pt idx="7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11-47E9-80CD-19CDED297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2"/>
        <c:overlap val="-17"/>
        <c:axId val="1860759537"/>
        <c:axId val="1473314513"/>
      </c:barChart>
      <c:catAx>
        <c:axId val="186075953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90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473314513"/>
        <c:crosses val="autoZero"/>
        <c:auto val="1"/>
        <c:lblAlgn val="ctr"/>
        <c:lblOffset val="100"/>
        <c:noMultiLvlLbl val="1"/>
      </c:catAx>
      <c:valAx>
        <c:axId val="1473314513"/>
        <c:scaling>
          <c:orientation val="minMax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860759537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6.842734430923407E-2"/>
          <c:y val="0.89400837661249788"/>
          <c:w val="0.2535497494631353"/>
          <c:h val="8.7937901379348857E-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8.4871103440837023E-2"/>
          <c:y val="7.5041066020593586E-2"/>
          <c:w val="0.53047912846510636"/>
          <c:h val="0.7851238441348678"/>
        </c:manualLayout>
      </c:layout>
      <c:barChart>
        <c:barDir val="col"/>
        <c:grouping val="percentStacked"/>
        <c:varyColors val="1"/>
        <c:ser>
          <c:idx val="0"/>
          <c:order val="0"/>
          <c:tx>
            <c:strRef>
              <c:f>'Graf. Colum.'!$B$69</c:f>
              <c:strCache>
                <c:ptCount val="1"/>
                <c:pt idx="0">
                  <c:v>Serie 1</c:v>
                </c:pt>
              </c:strCache>
            </c:strRef>
          </c:tx>
          <c:spPr>
            <a:solidFill>
              <a:srgbClr val="001391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E44A-4679-B940-A7C7789634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200">
                    <a:solidFill>
                      <a:schemeClr val="bg1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Colum.'!$C$68:$D$68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Colum.'!$C$69:$D$69</c:f>
              <c:numCache>
                <c:formatCode>0%</c:formatCode>
                <c:ptCount val="2"/>
                <c:pt idx="0">
                  <c:v>7.0000000000000007E-2</c:v>
                </c:pt>
                <c:pt idx="1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E44A-4679-B940-A7C778963433}"/>
            </c:ext>
          </c:extLst>
        </c:ser>
        <c:ser>
          <c:idx val="1"/>
          <c:order val="1"/>
          <c:tx>
            <c:strRef>
              <c:f>'Graf. Colum.'!$B$70</c:f>
              <c:strCache>
                <c:ptCount val="1"/>
                <c:pt idx="0">
                  <c:v>Serie 2</c:v>
                </c:pt>
              </c:strCache>
            </c:strRef>
          </c:tx>
          <c:spPr>
            <a:solidFill>
              <a:srgbClr val="85C8FF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E44A-4679-B940-A7C7789634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200">
                    <a:solidFill>
                      <a:srgbClr val="001391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Colum.'!$C$68:$D$68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Colum.'!$C$70:$D$70</c:f>
              <c:numCache>
                <c:formatCode>0%</c:formatCode>
                <c:ptCount val="2"/>
                <c:pt idx="0">
                  <c:v>0.06</c:v>
                </c:pt>
                <c:pt idx="1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3-E44A-4679-B940-A7C778963433}"/>
            </c:ext>
          </c:extLst>
        </c:ser>
        <c:ser>
          <c:idx val="2"/>
          <c:order val="2"/>
          <c:tx>
            <c:strRef>
              <c:f>'Graf. Colum.'!$B$71</c:f>
              <c:strCache>
                <c:ptCount val="1"/>
                <c:pt idx="0">
                  <c:v>Serie 3</c:v>
                </c:pt>
              </c:strCache>
            </c:strRef>
          </c:tx>
          <c:spPr>
            <a:solidFill>
              <a:srgbClr val="88E783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4-E44A-4679-B940-A7C7789634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200">
                    <a:solidFill>
                      <a:srgbClr val="001391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Colum.'!$C$68:$D$68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Colum.'!$C$71:$D$71</c:f>
              <c:numCache>
                <c:formatCode>0%</c:formatCode>
                <c:ptCount val="2"/>
                <c:pt idx="0">
                  <c:v>0.03</c:v>
                </c:pt>
                <c:pt idx="1">
                  <c:v>0.08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E44A-4679-B940-A7C778963433}"/>
            </c:ext>
          </c:extLst>
        </c:ser>
        <c:ser>
          <c:idx val="3"/>
          <c:order val="3"/>
          <c:tx>
            <c:strRef>
              <c:f>'Graf. Colum.'!$B$72</c:f>
              <c:strCache>
                <c:ptCount val="1"/>
                <c:pt idx="0">
                  <c:v>Serie 4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E44A-4679-B940-A7C77896343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200">
                    <a:solidFill>
                      <a:srgbClr val="001391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Colum.'!$C$68:$D$68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Colum.'!$C$72:$D$72</c:f>
              <c:numCache>
                <c:formatCode>0%</c:formatCode>
                <c:ptCount val="2"/>
                <c:pt idx="0">
                  <c:v>0.03</c:v>
                </c:pt>
                <c:pt idx="1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44A-4679-B940-A7C778963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23783014"/>
        <c:axId val="1524393203"/>
      </c:barChart>
      <c:catAx>
        <c:axId val="12378301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r>
                  <a:rPr lang="es-ES" b="0">
                    <a:solidFill>
                      <a:srgbClr val="001391"/>
                    </a:solidFill>
                    <a:latin typeface="+mn-lt"/>
                  </a:rPr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10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524393203"/>
        <c:crosses val="autoZero"/>
        <c:auto val="1"/>
        <c:lblAlgn val="ctr"/>
        <c:lblOffset val="100"/>
        <c:noMultiLvlLbl val="1"/>
      </c:catAx>
      <c:valAx>
        <c:axId val="1524393203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600" b="0">
                <a:solidFill>
                  <a:srgbClr val="FFFFFF"/>
                </a:solidFill>
                <a:latin typeface="+mn-lt"/>
              </a:defRPr>
            </a:pPr>
            <a:endParaRPr lang="es-ES"/>
          </a:p>
        </c:txPr>
        <c:crossAx val="12378301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006726761846882"/>
          <c:y val="7.227703017078381E-2"/>
          <c:w val="0.14716197461618669"/>
          <c:h val="0.20101013527155259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3.564870717690901E-2"/>
          <c:y val="6.8428497336036592E-2"/>
          <c:w val="0.61284114995829608"/>
          <c:h val="0.77097867257610753"/>
        </c:manualLayout>
      </c:layout>
      <c:barChart>
        <c:barDir val="col"/>
        <c:grouping val="percentStacked"/>
        <c:varyColors val="1"/>
        <c:ser>
          <c:idx val="0"/>
          <c:order val="0"/>
          <c:tx>
            <c:strRef>
              <c:f>'Graf. Colum.'!$L$69</c:f>
              <c:strCache>
                <c:ptCount val="1"/>
                <c:pt idx="0">
                  <c:v>Serie 1</c:v>
                </c:pt>
              </c:strCache>
            </c:strRef>
          </c:tx>
          <c:spPr>
            <a:solidFill>
              <a:srgbClr val="001391"/>
            </a:solidFill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10D4-46E1-BA48-5ABF0A9952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chemeClr val="bg1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Colum.'!$M$68:$N$68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Colum.'!$M$69:$N$69</c:f>
              <c:numCache>
                <c:formatCode>0%</c:formatCode>
                <c:ptCount val="2"/>
                <c:pt idx="0">
                  <c:v>0.1</c:v>
                </c:pt>
                <c:pt idx="1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1-10D4-46E1-BA48-5ABF0A995212}"/>
            </c:ext>
          </c:extLst>
        </c:ser>
        <c:ser>
          <c:idx val="1"/>
          <c:order val="1"/>
          <c:tx>
            <c:strRef>
              <c:f>'Graf. Colum.'!$L$70</c:f>
              <c:strCache>
                <c:ptCount val="1"/>
                <c:pt idx="0">
                  <c:v>Serie 2</c:v>
                </c:pt>
              </c:strCache>
            </c:strRef>
          </c:tx>
          <c:spPr>
            <a:solidFill>
              <a:srgbClr val="85C8FF"/>
            </a:solidFill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10D4-46E1-BA48-5ABF0A9952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chemeClr val="tx1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Colum.'!$M$68:$N$68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Colum.'!$M$70:$N$70</c:f>
              <c:numCache>
                <c:formatCode>0%</c:formatCode>
                <c:ptCount val="2"/>
                <c:pt idx="0">
                  <c:v>0.09</c:v>
                </c:pt>
                <c:pt idx="1">
                  <c:v>0.04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10D4-46E1-BA48-5ABF0A995212}"/>
            </c:ext>
          </c:extLst>
        </c:ser>
        <c:ser>
          <c:idx val="2"/>
          <c:order val="2"/>
          <c:tx>
            <c:strRef>
              <c:f>'Graf. Colum.'!$L$71</c:f>
              <c:strCache>
                <c:ptCount val="1"/>
                <c:pt idx="0">
                  <c:v>Serie 3</c:v>
                </c:pt>
              </c:strCache>
            </c:strRef>
          </c:tx>
          <c:spPr>
            <a:solidFill>
              <a:srgbClr val="88E783"/>
            </a:solidFill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4-10D4-46E1-BA48-5ABF0A9952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Colum.'!$M$68:$N$68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Colum.'!$M$71:$N$71</c:f>
              <c:numCache>
                <c:formatCode>0%</c:formatCode>
                <c:ptCount val="2"/>
                <c:pt idx="0">
                  <c:v>0.09</c:v>
                </c:pt>
                <c:pt idx="1">
                  <c:v>0.05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10D4-46E1-BA48-5ABF0A995212}"/>
            </c:ext>
          </c:extLst>
        </c:ser>
        <c:ser>
          <c:idx val="3"/>
          <c:order val="3"/>
          <c:tx>
            <c:strRef>
              <c:f>'Graf. Colum.'!$L$72</c:f>
              <c:strCache>
                <c:ptCount val="1"/>
                <c:pt idx="0">
                  <c:v>Serie 4</c:v>
                </c:pt>
              </c:strCache>
            </c:strRef>
          </c:tx>
          <c:spPr>
            <a:solidFill>
              <a:srgbClr val="FFB56B"/>
            </a:solidFill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10D4-46E1-BA48-5ABF0A9952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Colum.'!$M$68:$N$68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Colum.'!$M$72:$N$72</c:f>
              <c:numCache>
                <c:formatCode>0%</c:formatCode>
                <c:ptCount val="2"/>
                <c:pt idx="0">
                  <c:v>7.0000000000000007E-2</c:v>
                </c:pt>
                <c:pt idx="1">
                  <c:v>0.05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7-10D4-46E1-BA48-5ABF0A995212}"/>
            </c:ext>
          </c:extLst>
        </c:ser>
        <c:ser>
          <c:idx val="4"/>
          <c:order val="4"/>
          <c:tx>
            <c:strRef>
              <c:f>'Graf. Colum.'!$L$73</c:f>
              <c:strCache>
                <c:ptCount val="1"/>
                <c:pt idx="0">
                  <c:v>Serie 5</c:v>
                </c:pt>
              </c:strCache>
            </c:strRef>
          </c:tx>
          <c:spPr>
            <a:solidFill>
              <a:srgbClr val="FFE761"/>
            </a:solidFill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8-10D4-46E1-BA48-5ABF0A9952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Colum.'!$M$68:$N$68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Colum.'!$M$73:$N$73</c:f>
              <c:numCache>
                <c:formatCode>0%</c:formatCode>
                <c:ptCount val="2"/>
                <c:pt idx="0">
                  <c:v>7.0000000000000007E-2</c:v>
                </c:pt>
                <c:pt idx="1">
                  <c:v>0.06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9-10D4-46E1-BA48-5ABF0A995212}"/>
            </c:ext>
          </c:extLst>
        </c:ser>
        <c:ser>
          <c:idx val="5"/>
          <c:order val="5"/>
          <c:tx>
            <c:strRef>
              <c:f>'Graf. Colum.'!$L$74</c:f>
              <c:strCache>
                <c:ptCount val="1"/>
                <c:pt idx="0">
                  <c:v>Serie 6</c:v>
                </c:pt>
              </c:strCache>
            </c:strRef>
          </c:tx>
          <c:spPr>
            <a:solidFill>
              <a:srgbClr val="8BE1E9"/>
            </a:solidFill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A-10D4-46E1-BA48-5ABF0A9952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Colum.'!$M$68:$N$68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Colum.'!$M$74:$N$74</c:f>
              <c:numCache>
                <c:formatCode>0%</c:formatCode>
                <c:ptCount val="2"/>
                <c:pt idx="0">
                  <c:v>0.08</c:v>
                </c:pt>
                <c:pt idx="1">
                  <c:v>0.06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B-10D4-46E1-BA48-5ABF0A995212}"/>
            </c:ext>
          </c:extLst>
        </c:ser>
        <c:ser>
          <c:idx val="6"/>
          <c:order val="6"/>
          <c:tx>
            <c:strRef>
              <c:f>'Graf. Colum.'!$L$75</c:f>
              <c:strCache>
                <c:ptCount val="1"/>
                <c:pt idx="0">
                  <c:v>Serie 7</c:v>
                </c:pt>
              </c:strCache>
            </c:strRef>
          </c:tx>
          <c:spPr>
            <a:solidFill>
              <a:srgbClr val="9694FF"/>
            </a:solidFill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C-10D4-46E1-BA48-5ABF0A9952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Colum.'!$M$68:$N$68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Colum.'!$M$75:$N$75</c:f>
              <c:numCache>
                <c:formatCode>0%</c:formatCode>
                <c:ptCount val="2"/>
                <c:pt idx="0">
                  <c:v>7.0000000000000007E-2</c:v>
                </c:pt>
                <c:pt idx="1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D-10D4-46E1-BA48-5ABF0A995212}"/>
            </c:ext>
          </c:extLst>
        </c:ser>
        <c:ser>
          <c:idx val="7"/>
          <c:order val="7"/>
          <c:tx>
            <c:strRef>
              <c:f>'Graf. Colum.'!$L$76</c:f>
              <c:strCache>
                <c:ptCount val="1"/>
                <c:pt idx="0">
                  <c:v>Serie 8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E-10D4-46E1-BA48-5ABF0A99521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Colum.'!$M$68:$N$68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Colum.'!$M$76:$N$76</c:f>
              <c:numCache>
                <c:formatCode>0%</c:formatCode>
                <c:ptCount val="2"/>
                <c:pt idx="0">
                  <c:v>7.0000000000000007E-2</c:v>
                </c:pt>
                <c:pt idx="1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0D4-46E1-BA48-5ABF0A995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03202008"/>
        <c:axId val="312315138"/>
      </c:barChart>
      <c:catAx>
        <c:axId val="703202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ES"/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312315138"/>
        <c:crosses val="autoZero"/>
        <c:auto val="1"/>
        <c:lblAlgn val="ctr"/>
        <c:lblOffset val="100"/>
        <c:noMultiLvlLbl val="1"/>
      </c:catAx>
      <c:valAx>
        <c:axId val="31231513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one"/>
        <c:spPr>
          <a:ln>
            <a:noFill/>
          </a:ln>
        </c:spPr>
        <c:crossAx val="703202008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7329201196789177"/>
          <c:y val="4.891728354314992E-2"/>
          <c:w val="0.15673714255105867"/>
          <c:h val="0.43909158061829096"/>
        </c:manualLayout>
      </c:layout>
      <c:overlay val="0"/>
      <c:txPr>
        <a:bodyPr/>
        <a:lstStyle/>
        <a:p>
          <a:pPr>
            <a:defRPr sz="800">
              <a:solidFill>
                <a:srgbClr val="46536D"/>
              </a:solidFill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3846791068924605"/>
          <c:y val="0.10827683093138162"/>
          <c:w val="0.52159033545464351"/>
          <c:h val="0.74544328173077579"/>
        </c:manualLayout>
      </c:layout>
      <c:barChart>
        <c:barDir val="col"/>
        <c:grouping val="percentStacked"/>
        <c:varyColors val="1"/>
        <c:ser>
          <c:idx val="0"/>
          <c:order val="0"/>
          <c:tx>
            <c:strRef>
              <c:f>'Graf. Colum.'!$B$96</c:f>
              <c:strCache>
                <c:ptCount val="1"/>
                <c:pt idx="0">
                  <c:v>Serie 1</c:v>
                </c:pt>
              </c:strCache>
            </c:strRef>
          </c:tx>
          <c:spPr>
            <a:solidFill>
              <a:srgbClr val="001391"/>
            </a:solidFill>
            <a:ln cmpd="sng">
              <a:noFill/>
            </a:ln>
          </c:spPr>
          <c:invertIfNegative val="1"/>
          <c:cat>
            <c:strRef>
              <c:f>'Graf. Colum.'!$C$95:$D$95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Colum.'!$C$96:$D$96</c:f>
              <c:numCache>
                <c:formatCode>0%</c:formatCode>
                <c:ptCount val="2"/>
                <c:pt idx="0">
                  <c:v>0.08</c:v>
                </c:pt>
                <c:pt idx="1">
                  <c:v>0.06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5009-4BC2-B17A-8BBB69E207E9}"/>
            </c:ext>
          </c:extLst>
        </c:ser>
        <c:ser>
          <c:idx val="1"/>
          <c:order val="1"/>
          <c:tx>
            <c:strRef>
              <c:f>'Graf. Colum.'!$B$97</c:f>
              <c:strCache>
                <c:ptCount val="1"/>
                <c:pt idx="0">
                  <c:v>Serie 2</c:v>
                </c:pt>
              </c:strCache>
            </c:strRef>
          </c:tx>
          <c:spPr>
            <a:solidFill>
              <a:srgbClr val="85C8FF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5009-4BC2-B17A-8BBB69E207E9}"/>
              </c:ext>
            </c:extLst>
          </c:dPt>
          <c:cat>
            <c:strRef>
              <c:f>'Graf. Colum.'!$C$95:$D$95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Colum.'!$C$97:$D$97</c:f>
              <c:numCache>
                <c:formatCode>0%</c:formatCode>
                <c:ptCount val="2"/>
                <c:pt idx="0">
                  <c:v>7.0000000000000007E-2</c:v>
                </c:pt>
                <c:pt idx="1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5009-4BC2-B17A-8BBB69E207E9}"/>
            </c:ext>
          </c:extLst>
        </c:ser>
        <c:ser>
          <c:idx val="2"/>
          <c:order val="2"/>
          <c:tx>
            <c:strRef>
              <c:f>'Graf. Colum.'!$B$98</c:f>
              <c:strCache>
                <c:ptCount val="1"/>
                <c:pt idx="0">
                  <c:v>Serie 3</c:v>
                </c:pt>
              </c:strCache>
            </c:strRef>
          </c:tx>
          <c:spPr>
            <a:solidFill>
              <a:srgbClr val="88E783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5009-4BC2-B17A-8BBB69E207E9}"/>
              </c:ext>
            </c:extLst>
          </c:dPt>
          <c:cat>
            <c:strRef>
              <c:f>'Graf. Colum.'!$C$95:$D$95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Colum.'!$C$98:$D$98</c:f>
              <c:numCache>
                <c:formatCode>0%</c:formatCode>
                <c:ptCount val="2"/>
                <c:pt idx="0">
                  <c:v>7.0000000000000007E-2</c:v>
                </c:pt>
                <c:pt idx="1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5009-4BC2-B17A-8BBB69E207E9}"/>
            </c:ext>
          </c:extLst>
        </c:ser>
        <c:ser>
          <c:idx val="3"/>
          <c:order val="3"/>
          <c:tx>
            <c:strRef>
              <c:f>'Graf. Colum.'!$B$99</c:f>
              <c:strCache>
                <c:ptCount val="1"/>
                <c:pt idx="0">
                  <c:v>Serie 4</c:v>
                </c:pt>
              </c:strCache>
            </c:strRef>
          </c:tx>
          <c:spPr>
            <a:solidFill>
              <a:srgbClr val="FFB56B"/>
            </a:solidFill>
            <a:ln cmpd="sng">
              <a:noFill/>
            </a:ln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5-5009-4BC2-B17A-8BBB69E207E9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5009-4BC2-B17A-8BBB69E207E9}"/>
              </c:ext>
            </c:extLst>
          </c:dPt>
          <c:cat>
            <c:strRef>
              <c:f>'Graf. Colum.'!$C$95:$D$95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Colum.'!$C$99:$D$99</c:f>
              <c:numCache>
                <c:formatCode>0%</c:formatCode>
                <c:ptCount val="2"/>
                <c:pt idx="0">
                  <c:v>0.06</c:v>
                </c:pt>
                <c:pt idx="1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5009-4BC2-B17A-8BBB69E207E9}"/>
            </c:ext>
          </c:extLst>
        </c:ser>
        <c:ser>
          <c:idx val="4"/>
          <c:order val="4"/>
          <c:tx>
            <c:strRef>
              <c:f>'Graf. Colum.'!$B$100</c:f>
              <c:strCache>
                <c:ptCount val="1"/>
                <c:pt idx="0">
                  <c:v>Serie 5</c:v>
                </c:pt>
              </c:strCache>
            </c:strRef>
          </c:tx>
          <c:spPr>
            <a:solidFill>
              <a:srgbClr val="FFE761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8-5009-4BC2-B17A-8BBB69E207E9}"/>
              </c:ext>
            </c:extLst>
          </c:dPt>
          <c:cat>
            <c:strRef>
              <c:f>'Graf. Colum.'!$C$95:$D$95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Colum.'!$C$100:$D$100</c:f>
              <c:numCache>
                <c:formatCode>0%</c:formatCode>
                <c:ptCount val="2"/>
                <c:pt idx="0">
                  <c:v>0.06</c:v>
                </c:pt>
                <c:pt idx="1">
                  <c:v>0.08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5009-4BC2-B17A-8BBB69E207E9}"/>
            </c:ext>
          </c:extLst>
        </c:ser>
        <c:ser>
          <c:idx val="5"/>
          <c:order val="5"/>
          <c:tx>
            <c:strRef>
              <c:f>'Graf. Colum.'!$B$101</c:f>
              <c:strCache>
                <c:ptCount val="1"/>
                <c:pt idx="0">
                  <c:v>Serie 6</c:v>
                </c:pt>
              </c:strCache>
            </c:strRef>
          </c:tx>
          <c:spPr>
            <a:solidFill>
              <a:srgbClr val="8BE1E9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A-5009-4BC2-B17A-8BBB69E207E9}"/>
              </c:ext>
            </c:extLst>
          </c:dPt>
          <c:cat>
            <c:strRef>
              <c:f>'Graf. Colum.'!$C$95:$D$95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Colum.'!$C$101:$D$101</c:f>
              <c:numCache>
                <c:formatCode>0%</c:formatCode>
                <c:ptCount val="2"/>
                <c:pt idx="0">
                  <c:v>7.0000000000000007E-2</c:v>
                </c:pt>
                <c:pt idx="1">
                  <c:v>0.08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B-5009-4BC2-B17A-8BBB69E207E9}"/>
            </c:ext>
          </c:extLst>
        </c:ser>
        <c:ser>
          <c:idx val="6"/>
          <c:order val="6"/>
          <c:tx>
            <c:strRef>
              <c:f>'Graf. Colum.'!$B$102</c:f>
              <c:strCache>
                <c:ptCount val="1"/>
                <c:pt idx="0">
                  <c:v>Serie 7</c:v>
                </c:pt>
              </c:strCache>
            </c:strRef>
          </c:tx>
          <c:spPr>
            <a:solidFill>
              <a:srgbClr val="9694FF"/>
            </a:solidFill>
            <a:ln cmpd="sng">
              <a:noFill/>
            </a:ln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C-5009-4BC2-B17A-8BBB69E207E9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D-5009-4BC2-B17A-8BBB69E207E9}"/>
              </c:ext>
            </c:extLst>
          </c:dPt>
          <c:cat>
            <c:strRef>
              <c:f>'Graf. Colum.'!$C$95:$D$95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Colum.'!$C$102:$D$102</c:f>
              <c:numCache>
                <c:formatCode>0%</c:formatCode>
                <c:ptCount val="2"/>
                <c:pt idx="0">
                  <c:v>7.0000000000000007E-2</c:v>
                </c:pt>
                <c:pt idx="1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E-5009-4BC2-B17A-8BBB69E207E9}"/>
            </c:ext>
          </c:extLst>
        </c:ser>
        <c:ser>
          <c:idx val="7"/>
          <c:order val="7"/>
          <c:tx>
            <c:strRef>
              <c:f>'Graf. Colum.'!$B$103</c:f>
              <c:strCache>
                <c:ptCount val="1"/>
                <c:pt idx="0">
                  <c:v>Serie 8</c:v>
                </c:pt>
              </c:strCache>
            </c:strRef>
          </c:tx>
          <c:spPr>
            <a:solidFill>
              <a:srgbClr val="ADB8C2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F-5009-4BC2-B17A-8BBB69E207E9}"/>
              </c:ext>
            </c:extLst>
          </c:dPt>
          <c:cat>
            <c:strRef>
              <c:f>'Graf. Colum.'!$C$95:$D$95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Colum.'!$C$103:$D$103</c:f>
              <c:numCache>
                <c:formatCode>0%</c:formatCode>
                <c:ptCount val="2"/>
                <c:pt idx="0">
                  <c:v>0.06</c:v>
                </c:pt>
                <c:pt idx="1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0-5009-4BC2-B17A-8BBB69E207E9}"/>
            </c:ext>
          </c:extLst>
        </c:ser>
        <c:ser>
          <c:idx val="8"/>
          <c:order val="8"/>
          <c:tx>
            <c:strRef>
              <c:f>'Graf. Colum.'!$B$104</c:f>
              <c:strCache>
                <c:ptCount val="1"/>
                <c:pt idx="0">
                  <c:v>Serie 9</c:v>
                </c:pt>
              </c:strCache>
            </c:strRef>
          </c:tx>
          <c:spPr>
            <a:solidFill>
              <a:srgbClr val="FF8585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11-5009-4BC2-B17A-8BBB69E207E9}"/>
              </c:ext>
            </c:extLst>
          </c:dPt>
          <c:cat>
            <c:strRef>
              <c:f>'Graf. Colum.'!$C$95:$D$95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Colum.'!$C$104:$D$104</c:f>
              <c:numCache>
                <c:formatCode>0%</c:formatCode>
                <c:ptCount val="2"/>
                <c:pt idx="0">
                  <c:v>0.03</c:v>
                </c:pt>
                <c:pt idx="1">
                  <c:v>0.08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2-5009-4BC2-B17A-8BBB69E207E9}"/>
            </c:ext>
          </c:extLst>
        </c:ser>
        <c:ser>
          <c:idx val="9"/>
          <c:order val="9"/>
          <c:tx>
            <c:strRef>
              <c:f>'Graf. Colum.'!$B$105</c:f>
              <c:strCache>
                <c:ptCount val="1"/>
                <c:pt idx="0">
                  <c:v>Serie 10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13-5009-4BC2-B17A-8BBB69E207E9}"/>
              </c:ext>
            </c:extLst>
          </c:dPt>
          <c:cat>
            <c:strRef>
              <c:f>'Graf. Colum.'!$C$95:$D$95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Colum.'!$C$105:$D$105</c:f>
              <c:numCache>
                <c:formatCode>0%</c:formatCode>
                <c:ptCount val="2"/>
                <c:pt idx="0">
                  <c:v>0.03</c:v>
                </c:pt>
                <c:pt idx="1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5009-4BC2-B17A-8BBB69E207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8"/>
        <c:overlap val="100"/>
        <c:axId val="1288783190"/>
        <c:axId val="117275735"/>
      </c:barChart>
      <c:catAx>
        <c:axId val="128878319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r>
                  <a:rPr lang="es-ES" b="0">
                    <a:solidFill>
                      <a:srgbClr val="001391"/>
                    </a:solidFill>
                    <a:latin typeface="+mn-lt"/>
                  </a:rPr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10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17275735"/>
        <c:crosses val="autoZero"/>
        <c:auto val="1"/>
        <c:lblAlgn val="ctr"/>
        <c:lblOffset val="100"/>
        <c:noMultiLvlLbl val="1"/>
      </c:catAx>
      <c:valAx>
        <c:axId val="117275735"/>
        <c:scaling>
          <c:orientation val="minMax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288783190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5604817890914322"/>
          <c:y val="9.2580607580710378E-2"/>
          <c:w val="0.16115312983137381"/>
          <c:h val="0.4664597082022711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6100116630522548"/>
          <c:y val="0.10581005050608883"/>
          <c:w val="0.47337348888194541"/>
          <c:h val="0.74772311424518412"/>
        </c:manualLayout>
      </c:layout>
      <c:barChart>
        <c:barDir val="col"/>
        <c:grouping val="percentStacked"/>
        <c:varyColors val="1"/>
        <c:ser>
          <c:idx val="0"/>
          <c:order val="0"/>
          <c:tx>
            <c:strRef>
              <c:f>'Graf. Colum.'!$L$96</c:f>
              <c:strCache>
                <c:ptCount val="1"/>
                <c:pt idx="0">
                  <c:v>Serie 1</c:v>
                </c:pt>
              </c:strCache>
            </c:strRef>
          </c:tx>
          <c:spPr>
            <a:solidFill>
              <a:srgbClr val="001391"/>
            </a:solidFill>
            <a:ln cmpd="sng">
              <a:noFill/>
            </a:ln>
          </c:spPr>
          <c:invertIfNegative val="1"/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Colum.'!$M$96:$N$96</c:f>
              <c:numCache>
                <c:formatCode>0%</c:formatCode>
                <c:ptCount val="2"/>
                <c:pt idx="0">
                  <c:v>0.1</c:v>
                </c:pt>
                <c:pt idx="1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D98-472A-8FD0-1B6FA6A6EF7F}"/>
            </c:ext>
          </c:extLst>
        </c:ser>
        <c:ser>
          <c:idx val="1"/>
          <c:order val="1"/>
          <c:tx>
            <c:strRef>
              <c:f>'Graf. Colum.'!$L$97</c:f>
              <c:strCache>
                <c:ptCount val="1"/>
                <c:pt idx="0">
                  <c:v>Serie 2</c:v>
                </c:pt>
              </c:strCache>
            </c:strRef>
          </c:tx>
          <c:spPr>
            <a:solidFill>
              <a:srgbClr val="85C8FF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Colum.'!$M$97:$N$97</c:f>
              <c:numCache>
                <c:formatCode>0%</c:formatCode>
                <c:ptCount val="2"/>
                <c:pt idx="0">
                  <c:v>0.09</c:v>
                </c:pt>
                <c:pt idx="1">
                  <c:v>0.04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2D98-472A-8FD0-1B6FA6A6EF7F}"/>
            </c:ext>
          </c:extLst>
        </c:ser>
        <c:ser>
          <c:idx val="2"/>
          <c:order val="2"/>
          <c:tx>
            <c:strRef>
              <c:f>'Graf. Colum.'!$L$98</c:f>
              <c:strCache>
                <c:ptCount val="1"/>
                <c:pt idx="0">
                  <c:v>Serie 3</c:v>
                </c:pt>
              </c:strCache>
            </c:strRef>
          </c:tx>
          <c:spPr>
            <a:solidFill>
              <a:srgbClr val="88E783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Colum.'!$M$98:$N$98</c:f>
              <c:numCache>
                <c:formatCode>0%</c:formatCode>
                <c:ptCount val="2"/>
                <c:pt idx="0">
                  <c:v>0.09</c:v>
                </c:pt>
                <c:pt idx="1">
                  <c:v>0.05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2D98-472A-8FD0-1B6FA6A6EF7F}"/>
            </c:ext>
          </c:extLst>
        </c:ser>
        <c:ser>
          <c:idx val="3"/>
          <c:order val="3"/>
          <c:tx>
            <c:strRef>
              <c:f>'Graf. Colum.'!$L$99</c:f>
              <c:strCache>
                <c:ptCount val="1"/>
                <c:pt idx="0">
                  <c:v>Serie 4</c:v>
                </c:pt>
              </c:strCache>
            </c:strRef>
          </c:tx>
          <c:spPr>
            <a:solidFill>
              <a:srgbClr val="FFB56B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5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Colum.'!$M$99:$N$99</c:f>
              <c:numCache>
                <c:formatCode>0%</c:formatCode>
                <c:ptCount val="2"/>
                <c:pt idx="0">
                  <c:v>7.0000000000000007E-2</c:v>
                </c:pt>
                <c:pt idx="1">
                  <c:v>0.05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2D98-472A-8FD0-1B6FA6A6EF7F}"/>
            </c:ext>
          </c:extLst>
        </c:ser>
        <c:ser>
          <c:idx val="4"/>
          <c:order val="4"/>
          <c:tx>
            <c:strRef>
              <c:f>'Graf. Colum.'!$L$100</c:f>
              <c:strCache>
                <c:ptCount val="1"/>
                <c:pt idx="0">
                  <c:v>Serie 5</c:v>
                </c:pt>
              </c:strCache>
            </c:strRef>
          </c:tx>
          <c:spPr>
            <a:solidFill>
              <a:srgbClr val="FFE761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Colum.'!$M$100:$N$100</c:f>
              <c:numCache>
                <c:formatCode>0%</c:formatCode>
                <c:ptCount val="2"/>
                <c:pt idx="0">
                  <c:v>7.0000000000000007E-2</c:v>
                </c:pt>
                <c:pt idx="1">
                  <c:v>0.06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2D98-472A-8FD0-1B6FA6A6EF7F}"/>
            </c:ext>
          </c:extLst>
        </c:ser>
        <c:ser>
          <c:idx val="5"/>
          <c:order val="5"/>
          <c:tx>
            <c:strRef>
              <c:f>'Graf. Colum.'!$L$101</c:f>
              <c:strCache>
                <c:ptCount val="1"/>
                <c:pt idx="0">
                  <c:v>Serie 6</c:v>
                </c:pt>
              </c:strCache>
            </c:strRef>
          </c:tx>
          <c:spPr>
            <a:solidFill>
              <a:srgbClr val="8BE1E9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9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Colum.'!$M$101:$N$101</c:f>
              <c:numCache>
                <c:formatCode>0%</c:formatCode>
                <c:ptCount val="2"/>
                <c:pt idx="0">
                  <c:v>0.08</c:v>
                </c:pt>
                <c:pt idx="1">
                  <c:v>0.06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2D98-472A-8FD0-1B6FA6A6EF7F}"/>
            </c:ext>
          </c:extLst>
        </c:ser>
        <c:ser>
          <c:idx val="6"/>
          <c:order val="6"/>
          <c:tx>
            <c:strRef>
              <c:f>'Graf. Colum.'!$L$102</c:f>
              <c:strCache>
                <c:ptCount val="1"/>
                <c:pt idx="0">
                  <c:v>Serie 7</c:v>
                </c:pt>
              </c:strCache>
            </c:strRef>
          </c:tx>
          <c:spPr>
            <a:solidFill>
              <a:srgbClr val="9694FF"/>
            </a:solidFill>
            <a:ln cmpd="sng">
              <a:noFill/>
            </a:ln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B-2D98-472A-8FD0-1B6FA6A6EF7F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C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Colum.'!$M$102:$N$102</c:f>
              <c:numCache>
                <c:formatCode>0%</c:formatCode>
                <c:ptCount val="2"/>
                <c:pt idx="0">
                  <c:v>7.0000000000000007E-2</c:v>
                </c:pt>
                <c:pt idx="1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D-2D98-472A-8FD0-1B6FA6A6EF7F}"/>
            </c:ext>
          </c:extLst>
        </c:ser>
        <c:ser>
          <c:idx val="7"/>
          <c:order val="7"/>
          <c:tx>
            <c:strRef>
              <c:f>'Graf. Colum.'!$L$103</c:f>
              <c:strCache>
                <c:ptCount val="1"/>
                <c:pt idx="0">
                  <c:v>Serie 8</c:v>
                </c:pt>
              </c:strCache>
            </c:strRef>
          </c:tx>
          <c:spPr>
            <a:solidFill>
              <a:srgbClr val="ADB8C2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E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Colum.'!$M$103:$N$103</c:f>
              <c:numCache>
                <c:formatCode>0%</c:formatCode>
                <c:ptCount val="2"/>
                <c:pt idx="0">
                  <c:v>7.0000000000000007E-2</c:v>
                </c:pt>
                <c:pt idx="1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F-2D98-472A-8FD0-1B6FA6A6EF7F}"/>
            </c:ext>
          </c:extLst>
        </c:ser>
        <c:ser>
          <c:idx val="8"/>
          <c:order val="8"/>
          <c:tx>
            <c:strRef>
              <c:f>'Graf. Colum.'!$L$104</c:f>
              <c:strCache>
                <c:ptCount val="1"/>
                <c:pt idx="0">
                  <c:v>Serie 9</c:v>
                </c:pt>
              </c:strCache>
            </c:strRef>
          </c:tx>
          <c:spPr>
            <a:solidFill>
              <a:srgbClr val="FF8585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10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Colum.'!$M$104:$N$104</c:f>
              <c:numCache>
                <c:formatCode>0%</c:formatCode>
                <c:ptCount val="2"/>
                <c:pt idx="0">
                  <c:v>0.06</c:v>
                </c:pt>
                <c:pt idx="1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1-2D98-472A-8FD0-1B6FA6A6EF7F}"/>
            </c:ext>
          </c:extLst>
        </c:ser>
        <c:ser>
          <c:idx val="9"/>
          <c:order val="9"/>
          <c:tx>
            <c:strRef>
              <c:f>'Graf. Colum.'!$L$105</c:f>
              <c:strCache>
                <c:ptCount val="1"/>
                <c:pt idx="0">
                  <c:v>Serie 10</c:v>
                </c:pt>
              </c:strCache>
            </c:strRef>
          </c:tx>
          <c:spPr>
            <a:solidFill>
              <a:srgbClr val="118C97"/>
            </a:solidFill>
            <a:ln cmpd="sng">
              <a:noFill/>
            </a:ln>
          </c:spPr>
          <c:invertIfNegative val="1"/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Colum.'!$M$105:$N$105</c:f>
              <c:numCache>
                <c:formatCode>0%</c:formatCode>
                <c:ptCount val="2"/>
                <c:pt idx="0">
                  <c:v>0.06</c:v>
                </c:pt>
                <c:pt idx="1">
                  <c:v>0.08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2-2D98-472A-8FD0-1B6FA6A6EF7F}"/>
            </c:ext>
          </c:extLst>
        </c:ser>
        <c:ser>
          <c:idx val="10"/>
          <c:order val="10"/>
          <c:tx>
            <c:strRef>
              <c:f>'Graf. Colum.'!$L$106</c:f>
              <c:strCache>
                <c:ptCount val="1"/>
                <c:pt idx="0">
                  <c:v>Serie 11</c:v>
                </c:pt>
              </c:strCache>
            </c:strRef>
          </c:tx>
          <c:spPr>
            <a:solidFill>
              <a:srgbClr val="FFC552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13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Colum.'!$M$106:$N$106</c:f>
              <c:numCache>
                <c:formatCode>0%</c:formatCode>
                <c:ptCount val="2"/>
                <c:pt idx="0">
                  <c:v>7.0000000000000007E-2</c:v>
                </c:pt>
                <c:pt idx="1">
                  <c:v>0.08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4-2D98-472A-8FD0-1B6FA6A6EF7F}"/>
            </c:ext>
          </c:extLst>
        </c:ser>
        <c:ser>
          <c:idx val="11"/>
          <c:order val="11"/>
          <c:tx>
            <c:strRef>
              <c:f>'Graf. Colum.'!$L$107</c:f>
              <c:strCache>
                <c:ptCount val="1"/>
                <c:pt idx="0">
                  <c:v>Serie 12</c:v>
                </c:pt>
              </c:strCache>
            </c:strRef>
          </c:tx>
          <c:spPr>
            <a:solidFill>
              <a:srgbClr val="024700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15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Colum.'!$M$107:$N$107</c:f>
              <c:numCache>
                <c:formatCode>0%</c:formatCode>
                <c:ptCount val="2"/>
                <c:pt idx="0">
                  <c:v>7.0000000000000007E-2</c:v>
                </c:pt>
                <c:pt idx="1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6-2D98-472A-8FD0-1B6FA6A6EF7F}"/>
            </c:ext>
          </c:extLst>
        </c:ser>
        <c:ser>
          <c:idx val="12"/>
          <c:order val="12"/>
          <c:tx>
            <c:strRef>
              <c:f>'Graf. Colum.'!$L$108</c:f>
              <c:strCache>
                <c:ptCount val="1"/>
                <c:pt idx="0">
                  <c:v>Serie 13</c:v>
                </c:pt>
              </c:strCache>
            </c:strRef>
          </c:tx>
          <c:spPr>
            <a:solidFill>
              <a:srgbClr val="CAD1D8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17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Colum.'!$M$108:$N$108</c:f>
              <c:numCache>
                <c:formatCode>0%</c:formatCode>
                <c:ptCount val="2"/>
                <c:pt idx="0">
                  <c:v>0.06</c:v>
                </c:pt>
                <c:pt idx="1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8-2D98-472A-8FD0-1B6FA6A6EF7F}"/>
            </c:ext>
          </c:extLst>
        </c:ser>
        <c:ser>
          <c:idx val="13"/>
          <c:order val="13"/>
          <c:tx>
            <c:strRef>
              <c:f>'Graf. Colum.'!$L$109</c:f>
              <c:strCache>
                <c:ptCount val="1"/>
                <c:pt idx="0">
                  <c:v>Serie 14</c:v>
                </c:pt>
              </c:strCache>
            </c:strRef>
          </c:tx>
          <c:spPr>
            <a:solidFill>
              <a:srgbClr val="B98409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19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Colum.'!$M$109:$N$109</c:f>
              <c:numCache>
                <c:formatCode>0%</c:formatCode>
                <c:ptCount val="2"/>
                <c:pt idx="0">
                  <c:v>0.03</c:v>
                </c:pt>
                <c:pt idx="1">
                  <c:v>0.08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1A-2D98-472A-8FD0-1B6FA6A6EF7F}"/>
            </c:ext>
          </c:extLst>
        </c:ser>
        <c:ser>
          <c:idx val="14"/>
          <c:order val="14"/>
          <c:tx>
            <c:strRef>
              <c:f>'Graf. Colum.'!$L$110</c:f>
              <c:strCache>
                <c:ptCount val="1"/>
                <c:pt idx="0">
                  <c:v>Serie 15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1B-2D98-472A-8FD0-1B6FA6A6EF7F}"/>
              </c:ext>
            </c:extLst>
          </c:dPt>
          <c:cat>
            <c:strRef>
              <c:f>'Graf. Colum.'!$M$95:$N$95</c:f>
              <c:strCache>
                <c:ptCount val="2"/>
                <c:pt idx="0">
                  <c:v>2010</c:v>
                </c:pt>
                <c:pt idx="1">
                  <c:v>2012</c:v>
                </c:pt>
              </c:strCache>
            </c:strRef>
          </c:cat>
          <c:val>
            <c:numRef>
              <c:f>'Graf. Colum.'!$M$110:$N$110</c:f>
              <c:numCache>
                <c:formatCode>0%</c:formatCode>
                <c:ptCount val="2"/>
                <c:pt idx="0">
                  <c:v>0.03</c:v>
                </c:pt>
                <c:pt idx="1">
                  <c:v>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D98-472A-8FD0-1B6FA6A6EF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188057"/>
        <c:axId val="1148796423"/>
      </c:barChart>
      <c:catAx>
        <c:axId val="198718805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r>
                  <a:rPr lang="es-ES" b="0">
                    <a:solidFill>
                      <a:srgbClr val="001391"/>
                    </a:solidFill>
                    <a:latin typeface="+mn-lt"/>
                  </a:rPr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10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148796423"/>
        <c:crosses val="autoZero"/>
        <c:auto val="1"/>
        <c:lblAlgn val="ctr"/>
        <c:lblOffset val="100"/>
        <c:noMultiLvlLbl val="1"/>
      </c:catAx>
      <c:valAx>
        <c:axId val="1148796423"/>
        <c:scaling>
          <c:orientation val="minMax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987188057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79700978314560045"/>
          <c:y val="8.8853162284218398E-2"/>
          <c:w val="0.14443958054260519"/>
          <c:h val="0.70839278249487747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6.4784805259031172E-2"/>
          <c:y val="6.3725490196078427E-2"/>
          <c:w val="0.76663721308959265"/>
          <c:h val="0.81617647058823528"/>
        </c:manualLayout>
      </c:layout>
      <c:lineChart>
        <c:grouping val="standard"/>
        <c:varyColors val="1"/>
        <c:ser>
          <c:idx val="0"/>
          <c:order val="0"/>
          <c:tx>
            <c:strRef>
              <c:f>'Graf. líneas'!$P$78</c:f>
              <c:strCache>
                <c:ptCount val="1"/>
                <c:pt idx="0">
                  <c:v>Serie 1</c:v>
                </c:pt>
              </c:strCache>
            </c:strRef>
          </c:tx>
          <c:spPr>
            <a:ln w="38100" cmpd="sng">
              <a:solidFill>
                <a:schemeClr val="tx1"/>
              </a:solidFill>
            </a:ln>
          </c:spPr>
          <c:marker>
            <c:symbol val="none"/>
          </c:marker>
          <c:cat>
            <c:strRef>
              <c:f>'Graf. líneas'!$O$79:$O$83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líneas'!$P$79:$P$83</c:f>
              <c:numCache>
                <c:formatCode>#,##0</c:formatCode>
                <c:ptCount val="5"/>
                <c:pt idx="0">
                  <c:v>3988.3713124787</c:v>
                </c:pt>
                <c:pt idx="1">
                  <c:v>4140.6611174961999</c:v>
                </c:pt>
                <c:pt idx="2">
                  <c:v>4216.8445622378003</c:v>
                </c:pt>
                <c:pt idx="3">
                  <c:v>4121.2417658474005</c:v>
                </c:pt>
                <c:pt idx="4">
                  <c:v>4243.6432303025995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78A-4362-AFAB-BDF03D625222}"/>
            </c:ext>
          </c:extLst>
        </c:ser>
        <c:ser>
          <c:idx val="1"/>
          <c:order val="1"/>
          <c:tx>
            <c:strRef>
              <c:f>'Graf. líneas'!$Q$78</c:f>
              <c:strCache>
                <c:ptCount val="1"/>
                <c:pt idx="0">
                  <c:v>Serie 2</c:v>
                </c:pt>
              </c:strCache>
            </c:strRef>
          </c:tx>
          <c:spPr>
            <a:ln w="38100" cmpd="sng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'Graf. líneas'!$O$79:$O$83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líneas'!$Q$79:$Q$83</c:f>
              <c:numCache>
                <c:formatCode>#,##0</c:formatCode>
                <c:ptCount val="5"/>
                <c:pt idx="0">
                  <c:v>6052</c:v>
                </c:pt>
                <c:pt idx="1">
                  <c:v>5568</c:v>
                </c:pt>
                <c:pt idx="2">
                  <c:v>5830</c:v>
                </c:pt>
                <c:pt idx="3">
                  <c:v>5752</c:v>
                </c:pt>
                <c:pt idx="4">
                  <c:v>6481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78A-4362-AFAB-BDF03D625222}"/>
            </c:ext>
          </c:extLst>
        </c:ser>
        <c:ser>
          <c:idx val="2"/>
          <c:order val="2"/>
          <c:tx>
            <c:strRef>
              <c:f>'Graf. líneas'!$R$78</c:f>
              <c:strCache>
                <c:ptCount val="1"/>
                <c:pt idx="0">
                  <c:v>Serie 3</c:v>
                </c:pt>
              </c:strCache>
            </c:strRef>
          </c:tx>
          <c:spPr>
            <a:ln w="38100" cmpd="sng">
              <a:solidFill>
                <a:schemeClr val="accent5"/>
              </a:solidFill>
            </a:ln>
          </c:spPr>
          <c:marker>
            <c:symbol val="none"/>
          </c:marker>
          <c:cat>
            <c:strRef>
              <c:f>'Graf. líneas'!$O$79:$O$83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líneas'!$R$79:$R$83</c:f>
              <c:numCache>
                <c:formatCode>#,##0</c:formatCode>
                <c:ptCount val="5"/>
                <c:pt idx="0">
                  <c:v>400</c:v>
                </c:pt>
                <c:pt idx="1">
                  <c:v>1000</c:v>
                </c:pt>
                <c:pt idx="2">
                  <c:v>1500</c:v>
                </c:pt>
                <c:pt idx="3">
                  <c:v>1153.9614945781</c:v>
                </c:pt>
                <c:pt idx="4">
                  <c:v>1195.7635017018999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78A-4362-AFAB-BDF03D625222}"/>
            </c:ext>
          </c:extLst>
        </c:ser>
        <c:ser>
          <c:idx val="3"/>
          <c:order val="3"/>
          <c:tx>
            <c:strRef>
              <c:f>'Graf. líneas'!$S$78</c:f>
              <c:strCache>
                <c:ptCount val="1"/>
                <c:pt idx="0">
                  <c:v>Serie 4</c:v>
                </c:pt>
              </c:strCache>
            </c:strRef>
          </c:tx>
          <c:spPr>
            <a:ln w="38100" cmpd="sng">
              <a:solidFill>
                <a:schemeClr val="accent3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A78A-4362-AFAB-BDF03D625222}"/>
              </c:ext>
            </c:extLst>
          </c:dPt>
          <c:cat>
            <c:strRef>
              <c:f>'Graf. líneas'!$O$79:$O$83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líneas'!$S$79:$S$83</c:f>
              <c:numCache>
                <c:formatCode>#,##0</c:formatCode>
                <c:ptCount val="5"/>
                <c:pt idx="0">
                  <c:v>2000</c:v>
                </c:pt>
                <c:pt idx="1">
                  <c:v>2100</c:v>
                </c:pt>
                <c:pt idx="2">
                  <c:v>408.25110800969998</c:v>
                </c:pt>
                <c:pt idx="3">
                  <c:v>476.91317550479994</c:v>
                </c:pt>
                <c:pt idx="4">
                  <c:v>1041.5128264049001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78A-4362-AFAB-BDF03D625222}"/>
            </c:ext>
          </c:extLst>
        </c:ser>
        <c:ser>
          <c:idx val="4"/>
          <c:order val="4"/>
          <c:tx>
            <c:strRef>
              <c:f>'Graf. líneas'!$T$78</c:f>
              <c:strCache>
                <c:ptCount val="1"/>
                <c:pt idx="0">
                  <c:v>Serie 5</c:v>
                </c:pt>
              </c:strCache>
            </c:strRef>
          </c:tx>
          <c:spPr>
            <a:ln w="38100" cmpd="sng"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'Graf. líneas'!$O$79:$O$83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líneas'!$T$79:$T$83</c:f>
              <c:numCache>
                <c:formatCode>#,##0</c:formatCode>
                <c:ptCount val="5"/>
                <c:pt idx="0">
                  <c:v>1800</c:v>
                </c:pt>
                <c:pt idx="1">
                  <c:v>650</c:v>
                </c:pt>
                <c:pt idx="2">
                  <c:v>2000</c:v>
                </c:pt>
                <c:pt idx="3">
                  <c:v>1500</c:v>
                </c:pt>
                <c:pt idx="4">
                  <c:v>1140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A78A-4362-AFAB-BDF03D625222}"/>
            </c:ext>
          </c:extLst>
        </c:ser>
        <c:ser>
          <c:idx val="5"/>
          <c:order val="5"/>
          <c:tx>
            <c:strRef>
              <c:f>'Graf. líneas'!$U$78</c:f>
              <c:strCache>
                <c:ptCount val="1"/>
                <c:pt idx="0">
                  <c:v>Serie 6</c:v>
                </c:pt>
              </c:strCache>
            </c:strRef>
          </c:tx>
          <c:spPr>
            <a:ln w="38100" cmpd="sng">
              <a:solidFill>
                <a:srgbClr val="8BE1E9"/>
              </a:solidFill>
            </a:ln>
          </c:spPr>
          <c:marker>
            <c:symbol val="none"/>
          </c:marker>
          <c:cat>
            <c:strRef>
              <c:f>'Graf. líneas'!$O$79:$O$83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líneas'!$U$79:$U$83</c:f>
              <c:numCache>
                <c:formatCode>#,##0</c:formatCode>
                <c:ptCount val="5"/>
                <c:pt idx="0">
                  <c:v>2400</c:v>
                </c:pt>
                <c:pt idx="1">
                  <c:v>2600</c:v>
                </c:pt>
                <c:pt idx="2">
                  <c:v>3450</c:v>
                </c:pt>
                <c:pt idx="3">
                  <c:v>3548</c:v>
                </c:pt>
                <c:pt idx="4">
                  <c:v>3548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A78A-4362-AFAB-BDF03D625222}"/>
            </c:ext>
          </c:extLst>
        </c:ser>
        <c:ser>
          <c:idx val="6"/>
          <c:order val="6"/>
          <c:tx>
            <c:strRef>
              <c:f>'Graf. líneas'!$V$78</c:f>
              <c:strCache>
                <c:ptCount val="1"/>
                <c:pt idx="0">
                  <c:v>Serie 7</c:v>
                </c:pt>
              </c:strCache>
            </c:strRef>
          </c:tx>
          <c:spPr>
            <a:ln w="38100" cmpd="sng"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'Graf. líneas'!$O$79:$O$83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líneas'!$V$79:$V$83</c:f>
              <c:numCache>
                <c:formatCode>#,##0</c:formatCode>
                <c:ptCount val="5"/>
                <c:pt idx="0">
                  <c:v>950</c:v>
                </c:pt>
                <c:pt idx="1">
                  <c:v>1248</c:v>
                </c:pt>
                <c:pt idx="2">
                  <c:v>3000</c:v>
                </c:pt>
                <c:pt idx="3">
                  <c:v>2354</c:v>
                </c:pt>
                <c:pt idx="4">
                  <c:v>3258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A78A-4362-AFAB-BDF03D625222}"/>
            </c:ext>
          </c:extLst>
        </c:ser>
        <c:ser>
          <c:idx val="7"/>
          <c:order val="7"/>
          <c:tx>
            <c:strRef>
              <c:f>'Graf. líneas'!$W$78</c:f>
              <c:strCache>
                <c:ptCount val="1"/>
                <c:pt idx="0">
                  <c:v>Serie 8</c:v>
                </c:pt>
              </c:strCache>
            </c:strRef>
          </c:tx>
          <c:spPr>
            <a:ln w="38100" cmpd="sng">
              <a:solidFill>
                <a:srgbClr val="ADB8C2"/>
              </a:solidFill>
            </a:ln>
          </c:spPr>
          <c:marker>
            <c:symbol val="none"/>
          </c:marker>
          <c:cat>
            <c:strRef>
              <c:f>'Graf. líneas'!$O$79:$O$83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líneas'!$W$79:$W$83</c:f>
              <c:numCache>
                <c:formatCode>#,##0</c:formatCode>
                <c:ptCount val="5"/>
                <c:pt idx="0">
                  <c:v>4587</c:v>
                </c:pt>
                <c:pt idx="1">
                  <c:v>3548</c:v>
                </c:pt>
                <c:pt idx="2">
                  <c:v>2400</c:v>
                </c:pt>
                <c:pt idx="3">
                  <c:v>2540</c:v>
                </c:pt>
                <c:pt idx="4">
                  <c:v>2224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A78A-4362-AFAB-BDF03D625222}"/>
            </c:ext>
          </c:extLst>
        </c:ser>
        <c:ser>
          <c:idx val="8"/>
          <c:order val="8"/>
          <c:tx>
            <c:strRef>
              <c:f>'Graf. líneas'!$X$78</c:f>
              <c:strCache>
                <c:ptCount val="1"/>
                <c:pt idx="0">
                  <c:v>Serie 9</c:v>
                </c:pt>
              </c:strCache>
            </c:strRef>
          </c:tx>
          <c:spPr>
            <a:ln w="38100" cmpd="sng">
              <a:solidFill>
                <a:srgbClr val="FF8585"/>
              </a:solidFill>
            </a:ln>
          </c:spPr>
          <c:marker>
            <c:symbol val="none"/>
          </c:marker>
          <c:cat>
            <c:strRef>
              <c:f>'Graf. líneas'!$O$79:$O$83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líneas'!$X$79:$X$83</c:f>
              <c:numCache>
                <c:formatCode>#,##0</c:formatCode>
                <c:ptCount val="5"/>
                <c:pt idx="0">
                  <c:v>3485</c:v>
                </c:pt>
                <c:pt idx="1">
                  <c:v>3400</c:v>
                </c:pt>
                <c:pt idx="2">
                  <c:v>4200</c:v>
                </c:pt>
                <c:pt idx="3">
                  <c:v>3000</c:v>
                </c:pt>
                <c:pt idx="4">
                  <c:v>3400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A78A-4362-AFAB-BDF03D625222}"/>
            </c:ext>
          </c:extLst>
        </c:ser>
        <c:ser>
          <c:idx val="9"/>
          <c:order val="9"/>
          <c:tx>
            <c:strRef>
              <c:f>'Graf. líneas'!$Y$78</c:f>
              <c:strCache>
                <c:ptCount val="1"/>
                <c:pt idx="0">
                  <c:v>Serie 10</c:v>
                </c:pt>
              </c:strCache>
            </c:strRef>
          </c:tx>
          <c:spPr>
            <a:ln w="38100" cmpd="sng">
              <a:solidFill>
                <a:srgbClr val="108C97"/>
              </a:solidFill>
            </a:ln>
          </c:spPr>
          <c:marker>
            <c:symbol val="none"/>
          </c:marker>
          <c:cat>
            <c:strRef>
              <c:f>'Graf. líneas'!$O$79:$O$83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líneas'!$Y$79:$Y$83</c:f>
              <c:numCache>
                <c:formatCode>#,##0</c:formatCode>
                <c:ptCount val="5"/>
                <c:pt idx="0">
                  <c:v>2548</c:v>
                </c:pt>
                <c:pt idx="1">
                  <c:v>4542</c:v>
                </c:pt>
                <c:pt idx="2">
                  <c:v>3584</c:v>
                </c:pt>
                <c:pt idx="3">
                  <c:v>4200</c:v>
                </c:pt>
                <c:pt idx="4">
                  <c:v>4000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A78A-4362-AFAB-BDF03D625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5287723"/>
        <c:axId val="2935598"/>
      </c:lineChart>
      <c:catAx>
        <c:axId val="165528772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20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2935598"/>
        <c:crosses val="autoZero"/>
        <c:auto val="1"/>
        <c:lblAlgn val="ctr"/>
        <c:lblOffset val="100"/>
        <c:noMultiLvlLbl val="1"/>
      </c:catAx>
      <c:valAx>
        <c:axId val="2935598"/>
        <c:scaling>
          <c:orientation val="minMax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655287723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7518045523651289"/>
          <c:y val="5.2843137254901966E-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0540356967434178"/>
          <c:y val="7.7442746127322326E-2"/>
          <c:w val="0.72601848419923398"/>
          <c:h val="0.75198548710822921"/>
        </c:manualLayout>
      </c:layout>
      <c:lineChart>
        <c:grouping val="standard"/>
        <c:varyColors val="1"/>
        <c:ser>
          <c:idx val="0"/>
          <c:order val="0"/>
          <c:tx>
            <c:strRef>
              <c:f>'Graf. líneas'!$C$78</c:f>
              <c:strCache>
                <c:ptCount val="1"/>
                <c:pt idx="0">
                  <c:v>Serie 1</c:v>
                </c:pt>
              </c:strCache>
            </c:strRef>
          </c:tx>
          <c:spPr>
            <a:ln w="38100" cmpd="sng">
              <a:solidFill>
                <a:schemeClr val="tx1"/>
              </a:solidFill>
            </a:ln>
          </c:spPr>
          <c:marker>
            <c:symbol val="none"/>
          </c:marker>
          <c:cat>
            <c:strRef>
              <c:f>'Graf. líneas'!$B$79:$B$83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líneas'!$C$79:$C$83</c:f>
              <c:numCache>
                <c:formatCode>#,##0</c:formatCode>
                <c:ptCount val="5"/>
                <c:pt idx="0">
                  <c:v>3988.3713124787</c:v>
                </c:pt>
                <c:pt idx="1">
                  <c:v>4140.6611174961999</c:v>
                </c:pt>
                <c:pt idx="2">
                  <c:v>4216.8445622378003</c:v>
                </c:pt>
                <c:pt idx="3">
                  <c:v>4121.2417658474005</c:v>
                </c:pt>
                <c:pt idx="4">
                  <c:v>4243.6432303025995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867-49D6-8778-3E3D60C5386B}"/>
            </c:ext>
          </c:extLst>
        </c:ser>
        <c:ser>
          <c:idx val="1"/>
          <c:order val="1"/>
          <c:tx>
            <c:strRef>
              <c:f>'Graf. líneas'!$D$78</c:f>
              <c:strCache>
                <c:ptCount val="1"/>
                <c:pt idx="0">
                  <c:v>Serie 2</c:v>
                </c:pt>
              </c:strCache>
            </c:strRef>
          </c:tx>
          <c:spPr>
            <a:ln w="38100" cmpd="sng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'Graf. líneas'!$B$79:$B$83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líneas'!$D$79:$D$83</c:f>
              <c:numCache>
                <c:formatCode>#,##0</c:formatCode>
                <c:ptCount val="5"/>
                <c:pt idx="0">
                  <c:v>6052</c:v>
                </c:pt>
                <c:pt idx="1">
                  <c:v>5568</c:v>
                </c:pt>
                <c:pt idx="2">
                  <c:v>5830</c:v>
                </c:pt>
                <c:pt idx="3">
                  <c:v>5752</c:v>
                </c:pt>
                <c:pt idx="4">
                  <c:v>6481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867-49D6-8778-3E3D60C5386B}"/>
            </c:ext>
          </c:extLst>
        </c:ser>
        <c:ser>
          <c:idx val="2"/>
          <c:order val="2"/>
          <c:tx>
            <c:strRef>
              <c:f>'Graf. líneas'!$E$78</c:f>
              <c:strCache>
                <c:ptCount val="1"/>
                <c:pt idx="0">
                  <c:v>Serie 3</c:v>
                </c:pt>
              </c:strCache>
            </c:strRef>
          </c:tx>
          <c:spPr>
            <a:ln w="38100" cmpd="sng">
              <a:solidFill>
                <a:schemeClr val="accent5"/>
              </a:solidFill>
            </a:ln>
          </c:spPr>
          <c:marker>
            <c:symbol val="none"/>
          </c:marker>
          <c:cat>
            <c:strRef>
              <c:f>'Graf. líneas'!$B$79:$B$83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líneas'!$E$79:$E$83</c:f>
              <c:numCache>
                <c:formatCode>#,##0</c:formatCode>
                <c:ptCount val="5"/>
                <c:pt idx="0">
                  <c:v>400</c:v>
                </c:pt>
                <c:pt idx="1">
                  <c:v>1000</c:v>
                </c:pt>
                <c:pt idx="2">
                  <c:v>1500</c:v>
                </c:pt>
                <c:pt idx="3">
                  <c:v>1153.9614945781</c:v>
                </c:pt>
                <c:pt idx="4">
                  <c:v>1195.7635017018999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867-49D6-8778-3E3D60C5386B}"/>
            </c:ext>
          </c:extLst>
        </c:ser>
        <c:ser>
          <c:idx val="3"/>
          <c:order val="3"/>
          <c:tx>
            <c:strRef>
              <c:f>'Graf. líneas'!$F$78</c:f>
              <c:strCache>
                <c:ptCount val="1"/>
                <c:pt idx="0">
                  <c:v>Serie 4</c:v>
                </c:pt>
              </c:strCache>
            </c:strRef>
          </c:tx>
          <c:spPr>
            <a:ln w="38100" cmpd="sng">
              <a:solidFill>
                <a:schemeClr val="accent3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F867-49D6-8778-3E3D60C5386B}"/>
              </c:ext>
            </c:extLst>
          </c:dPt>
          <c:cat>
            <c:strRef>
              <c:f>'Graf. líneas'!$B$79:$B$83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líneas'!$F$79:$F$83</c:f>
              <c:numCache>
                <c:formatCode>#,##0</c:formatCode>
                <c:ptCount val="5"/>
                <c:pt idx="0">
                  <c:v>2000</c:v>
                </c:pt>
                <c:pt idx="1">
                  <c:v>2100</c:v>
                </c:pt>
                <c:pt idx="2">
                  <c:v>408.25110800969998</c:v>
                </c:pt>
                <c:pt idx="3">
                  <c:v>476.91317550479994</c:v>
                </c:pt>
                <c:pt idx="4">
                  <c:v>1041.5128264049001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F867-49D6-8778-3E3D60C5386B}"/>
            </c:ext>
          </c:extLst>
        </c:ser>
        <c:ser>
          <c:idx val="4"/>
          <c:order val="4"/>
          <c:tx>
            <c:strRef>
              <c:f>'Graf. líneas'!$G$78</c:f>
              <c:strCache>
                <c:ptCount val="1"/>
                <c:pt idx="0">
                  <c:v>Serie 5</c:v>
                </c:pt>
              </c:strCache>
            </c:strRef>
          </c:tx>
          <c:spPr>
            <a:ln w="38100" cmpd="sng"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'Graf. líneas'!$B$79:$B$83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líneas'!$G$79:$G$83</c:f>
              <c:numCache>
                <c:formatCode>#,##0</c:formatCode>
                <c:ptCount val="5"/>
                <c:pt idx="0">
                  <c:v>1800</c:v>
                </c:pt>
                <c:pt idx="1">
                  <c:v>650</c:v>
                </c:pt>
                <c:pt idx="2">
                  <c:v>2000</c:v>
                </c:pt>
                <c:pt idx="3">
                  <c:v>1500</c:v>
                </c:pt>
                <c:pt idx="4">
                  <c:v>1140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F867-49D6-8778-3E3D60C5386B}"/>
            </c:ext>
          </c:extLst>
        </c:ser>
        <c:ser>
          <c:idx val="5"/>
          <c:order val="5"/>
          <c:tx>
            <c:strRef>
              <c:f>'Graf. líneas'!$H$78</c:f>
              <c:strCache>
                <c:ptCount val="1"/>
                <c:pt idx="0">
                  <c:v>Serie 6</c:v>
                </c:pt>
              </c:strCache>
            </c:strRef>
          </c:tx>
          <c:spPr>
            <a:ln w="38100" cmpd="sng">
              <a:solidFill>
                <a:srgbClr val="8BE1E9"/>
              </a:solidFill>
            </a:ln>
          </c:spPr>
          <c:marker>
            <c:symbol val="none"/>
          </c:marker>
          <c:cat>
            <c:strRef>
              <c:f>'Graf. líneas'!$B$79:$B$83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líneas'!$H$79:$H$83</c:f>
              <c:numCache>
                <c:formatCode>#,##0</c:formatCode>
                <c:ptCount val="5"/>
                <c:pt idx="0">
                  <c:v>2400</c:v>
                </c:pt>
                <c:pt idx="1">
                  <c:v>2600</c:v>
                </c:pt>
                <c:pt idx="2">
                  <c:v>3450</c:v>
                </c:pt>
                <c:pt idx="3">
                  <c:v>3548</c:v>
                </c:pt>
                <c:pt idx="4">
                  <c:v>3548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F867-49D6-8778-3E3D60C5386B}"/>
            </c:ext>
          </c:extLst>
        </c:ser>
        <c:ser>
          <c:idx val="6"/>
          <c:order val="6"/>
          <c:tx>
            <c:strRef>
              <c:f>'Graf. líneas'!$I$78</c:f>
              <c:strCache>
                <c:ptCount val="1"/>
                <c:pt idx="0">
                  <c:v>Serie 7</c:v>
                </c:pt>
              </c:strCache>
            </c:strRef>
          </c:tx>
          <c:spPr>
            <a:ln w="38100" cmpd="sng"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'Graf. líneas'!$B$79:$B$83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líneas'!$I$79:$I$83</c:f>
              <c:numCache>
                <c:formatCode>#,##0</c:formatCode>
                <c:ptCount val="5"/>
                <c:pt idx="0">
                  <c:v>950</c:v>
                </c:pt>
                <c:pt idx="1">
                  <c:v>1248</c:v>
                </c:pt>
                <c:pt idx="2">
                  <c:v>3000</c:v>
                </c:pt>
                <c:pt idx="3">
                  <c:v>2354</c:v>
                </c:pt>
                <c:pt idx="4">
                  <c:v>3258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F867-49D6-8778-3E3D60C5386B}"/>
            </c:ext>
          </c:extLst>
        </c:ser>
        <c:ser>
          <c:idx val="7"/>
          <c:order val="7"/>
          <c:tx>
            <c:strRef>
              <c:f>'Graf. líneas'!$J$78</c:f>
              <c:strCache>
                <c:ptCount val="1"/>
                <c:pt idx="0">
                  <c:v>Serie 8</c:v>
                </c:pt>
              </c:strCache>
            </c:strRef>
          </c:tx>
          <c:spPr>
            <a:ln w="38100" cmpd="sng">
              <a:solidFill>
                <a:srgbClr val="ADB8C2"/>
              </a:solidFill>
            </a:ln>
          </c:spPr>
          <c:marker>
            <c:symbol val="none"/>
          </c:marker>
          <c:cat>
            <c:strRef>
              <c:f>'Graf. líneas'!$B$79:$B$83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líneas'!$J$79:$J$83</c:f>
              <c:numCache>
                <c:formatCode>#,##0</c:formatCode>
                <c:ptCount val="5"/>
                <c:pt idx="0">
                  <c:v>4587</c:v>
                </c:pt>
                <c:pt idx="1">
                  <c:v>3548</c:v>
                </c:pt>
                <c:pt idx="2">
                  <c:v>2400</c:v>
                </c:pt>
                <c:pt idx="3">
                  <c:v>2540</c:v>
                </c:pt>
                <c:pt idx="4">
                  <c:v>2224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F867-49D6-8778-3E3D60C5386B}"/>
            </c:ext>
          </c:extLst>
        </c:ser>
        <c:ser>
          <c:idx val="8"/>
          <c:order val="8"/>
          <c:tx>
            <c:strRef>
              <c:f>'Graf. líneas'!$K$78</c:f>
              <c:strCache>
                <c:ptCount val="1"/>
                <c:pt idx="0">
                  <c:v>Serie 9</c:v>
                </c:pt>
              </c:strCache>
            </c:strRef>
          </c:tx>
          <c:spPr>
            <a:ln w="38100" cmpd="sng">
              <a:solidFill>
                <a:srgbClr val="FF8585"/>
              </a:solidFill>
            </a:ln>
          </c:spPr>
          <c:marker>
            <c:symbol val="none"/>
          </c:marker>
          <c:cat>
            <c:strRef>
              <c:f>'Graf. líneas'!$B$79:$B$83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líneas'!$K$79:$K$83</c:f>
              <c:numCache>
                <c:formatCode>#,##0</c:formatCode>
                <c:ptCount val="5"/>
                <c:pt idx="0">
                  <c:v>3485</c:v>
                </c:pt>
                <c:pt idx="1">
                  <c:v>3400</c:v>
                </c:pt>
                <c:pt idx="2">
                  <c:v>4200</c:v>
                </c:pt>
                <c:pt idx="3">
                  <c:v>3000</c:v>
                </c:pt>
                <c:pt idx="4">
                  <c:v>3400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9-F867-49D6-8778-3E3D60C53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39496984"/>
        <c:axId val="749883665"/>
      </c:lineChart>
      <c:catAx>
        <c:axId val="639496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20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749883665"/>
        <c:crosses val="autoZero"/>
        <c:auto val="1"/>
        <c:lblAlgn val="ctr"/>
        <c:lblOffset val="100"/>
        <c:noMultiLvlLbl val="1"/>
      </c:catAx>
      <c:valAx>
        <c:axId val="749883665"/>
        <c:scaling>
          <c:orientation val="minMax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639496984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7518045523651289"/>
          <c:y val="5.2843137254901966E-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6.4784805259031172E-2"/>
          <c:y val="6.3725490196078427E-2"/>
          <c:w val="0.76663721308959265"/>
          <c:h val="0.81617647058823528"/>
        </c:manualLayout>
      </c:layout>
      <c:lineChart>
        <c:grouping val="standard"/>
        <c:varyColors val="1"/>
        <c:ser>
          <c:idx val="0"/>
          <c:order val="0"/>
          <c:tx>
            <c:strRef>
              <c:f>'Graf. líneas'!$V$39</c:f>
              <c:strCache>
                <c:ptCount val="1"/>
                <c:pt idx="0">
                  <c:v>Serie 1</c:v>
                </c:pt>
              </c:strCache>
            </c:strRef>
          </c:tx>
          <c:spPr>
            <a:ln w="38100" cmpd="sng">
              <a:solidFill>
                <a:srgbClr val="001391"/>
              </a:solidFill>
            </a:ln>
          </c:spPr>
          <c:marker>
            <c:symbol val="circle"/>
            <c:size val="9"/>
            <c:spPr>
              <a:solidFill>
                <a:srgbClr val="001391"/>
              </a:solidFill>
              <a:ln cmpd="sng">
                <a:solidFill>
                  <a:srgbClr val="001391"/>
                </a:solidFill>
              </a:ln>
            </c:spPr>
          </c:marker>
          <c:dPt>
            <c:idx val="0"/>
            <c:marker>
              <c:spPr>
                <a:solidFill>
                  <a:srgbClr val="001391"/>
                </a:solidFill>
                <a:ln w="117475" cmpd="sng">
                  <a:solidFill>
                    <a:srgbClr val="001391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CF13-4ED4-8C01-5942970E344A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9B71-4EA0-9ED5-4C6C2BE2E73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9B71-4EA0-9ED5-4C6C2BE2E73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9B71-4EA0-9ED5-4C6C2BE2E737}"/>
              </c:ext>
            </c:extLst>
          </c:dPt>
          <c:dPt>
            <c:idx val="4"/>
            <c:marker>
              <c:spPr>
                <a:solidFill>
                  <a:srgbClr val="001391"/>
                </a:solidFill>
                <a:ln w="117475" cmpd="sng">
                  <a:solidFill>
                    <a:srgbClr val="001391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CF13-4ED4-8C01-5942970E344A}"/>
              </c:ext>
            </c:extLst>
          </c:dPt>
          <c:cat>
            <c:strRef>
              <c:f>'Graf. líneas'!$U$40:$U$44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líneas'!$V$40:$V$44</c:f>
              <c:numCache>
                <c:formatCode>#,##0</c:formatCode>
                <c:ptCount val="5"/>
                <c:pt idx="0">
                  <c:v>3988.3713124787</c:v>
                </c:pt>
                <c:pt idx="1">
                  <c:v>4140.6611174961999</c:v>
                </c:pt>
                <c:pt idx="2">
                  <c:v>4216.8445622378003</c:v>
                </c:pt>
                <c:pt idx="3">
                  <c:v>4121.2417658474005</c:v>
                </c:pt>
                <c:pt idx="4">
                  <c:v>4243.6432303025995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9B71-4EA0-9ED5-4C6C2BE2E737}"/>
            </c:ext>
          </c:extLst>
        </c:ser>
        <c:ser>
          <c:idx val="1"/>
          <c:order val="1"/>
          <c:tx>
            <c:strRef>
              <c:f>'Graf. líneas'!$W$39</c:f>
              <c:strCache>
                <c:ptCount val="1"/>
                <c:pt idx="0">
                  <c:v>Serie 2</c:v>
                </c:pt>
              </c:strCache>
            </c:strRef>
          </c:tx>
          <c:spPr>
            <a:ln w="38100" cmpd="sng">
              <a:solidFill>
                <a:srgbClr val="85C8FF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85C8FF"/>
              </a:solidFill>
              <a:ln cmpd="sng">
                <a:solidFill>
                  <a:srgbClr val="85C8FF"/>
                </a:solidFill>
              </a:ln>
            </c:spPr>
          </c:marker>
          <c:dPt>
            <c:idx val="0"/>
            <c:marker>
              <c:spPr>
                <a:solidFill>
                  <a:srgbClr val="85C8FF"/>
                </a:solidFill>
                <a:ln w="117475" cmpd="sng">
                  <a:solidFill>
                    <a:srgbClr val="85C8FF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CF13-4ED4-8C01-5942970E344A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9B71-4EA0-9ED5-4C6C2BE2E73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9B71-4EA0-9ED5-4C6C2BE2E73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9B71-4EA0-9ED5-4C6C2BE2E737}"/>
              </c:ext>
            </c:extLst>
          </c:dPt>
          <c:dPt>
            <c:idx val="4"/>
            <c:marker>
              <c:spPr>
                <a:solidFill>
                  <a:srgbClr val="85C8FF"/>
                </a:solidFill>
                <a:ln w="117475" cmpd="sng">
                  <a:solidFill>
                    <a:srgbClr val="85C8FF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CF13-4ED4-8C01-5942970E344A}"/>
              </c:ext>
            </c:extLst>
          </c:dPt>
          <c:cat>
            <c:strRef>
              <c:f>'Graf. líneas'!$U$40:$U$44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líneas'!$W$40:$W$44</c:f>
              <c:numCache>
                <c:formatCode>#,##0</c:formatCode>
                <c:ptCount val="5"/>
                <c:pt idx="0">
                  <c:v>6052</c:v>
                </c:pt>
                <c:pt idx="1">
                  <c:v>5568</c:v>
                </c:pt>
                <c:pt idx="2">
                  <c:v>5830</c:v>
                </c:pt>
                <c:pt idx="3">
                  <c:v>5752</c:v>
                </c:pt>
                <c:pt idx="4">
                  <c:v>6481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9B71-4EA0-9ED5-4C6C2BE2E737}"/>
            </c:ext>
          </c:extLst>
        </c:ser>
        <c:ser>
          <c:idx val="2"/>
          <c:order val="2"/>
          <c:tx>
            <c:strRef>
              <c:f>'Graf. líneas'!$X$39</c:f>
              <c:strCache>
                <c:ptCount val="1"/>
                <c:pt idx="0">
                  <c:v>Serie 3</c:v>
                </c:pt>
              </c:strCache>
            </c:strRef>
          </c:tx>
          <c:spPr>
            <a:ln w="38100" cmpd="sng">
              <a:solidFill>
                <a:srgbClr val="88E783"/>
              </a:solidFill>
            </a:ln>
          </c:spPr>
          <c:marker>
            <c:symbol val="circle"/>
            <c:size val="9"/>
            <c:spPr>
              <a:solidFill>
                <a:srgbClr val="88E783"/>
              </a:solidFill>
              <a:ln w="117475" cmpd="sng">
                <a:solidFill>
                  <a:srgbClr val="88E783">
                    <a:alpha val="25000"/>
                  </a:srgbClr>
                </a:solidFill>
              </a:ln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9B71-4EA0-9ED5-4C6C2BE2E73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9B71-4EA0-9ED5-4C6C2BE2E73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9B71-4EA0-9ED5-4C6C2BE2E737}"/>
              </c:ext>
            </c:extLst>
          </c:dPt>
          <c:cat>
            <c:strRef>
              <c:f>'Graf. líneas'!$U$40:$U$44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líneas'!$X$40:$X$44</c:f>
              <c:numCache>
                <c:formatCode>#,##0</c:formatCode>
                <c:ptCount val="5"/>
                <c:pt idx="0">
                  <c:v>400</c:v>
                </c:pt>
                <c:pt idx="1">
                  <c:v>1000</c:v>
                </c:pt>
                <c:pt idx="2">
                  <c:v>1500</c:v>
                </c:pt>
                <c:pt idx="3">
                  <c:v>1153.9614945781</c:v>
                </c:pt>
                <c:pt idx="4">
                  <c:v>1195.7635017018999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9B71-4EA0-9ED5-4C6C2BE2E737}"/>
            </c:ext>
          </c:extLst>
        </c:ser>
        <c:ser>
          <c:idx val="3"/>
          <c:order val="3"/>
          <c:tx>
            <c:strRef>
              <c:f>'Graf. líneas'!$Y$39</c:f>
              <c:strCache>
                <c:ptCount val="1"/>
                <c:pt idx="0">
                  <c:v>Serie 4</c:v>
                </c:pt>
              </c:strCache>
            </c:strRef>
          </c:tx>
          <c:spPr>
            <a:ln w="38100" cmpd="sng">
              <a:solidFill>
                <a:srgbClr val="FFB56B"/>
              </a:solidFill>
            </a:ln>
          </c:spPr>
          <c:marker>
            <c:symbol val="circle"/>
            <c:size val="9"/>
            <c:spPr>
              <a:solidFill>
                <a:srgbClr val="FFB56B"/>
              </a:solidFill>
              <a:ln w="117475" cmpd="sng">
                <a:solidFill>
                  <a:srgbClr val="FFB56B">
                    <a:alpha val="25000"/>
                  </a:srgbClr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C-9B71-4EA0-9ED5-4C6C2BE2E737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9B71-4EA0-9ED5-4C6C2BE2E73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9B71-4EA0-9ED5-4C6C2BE2E73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9B71-4EA0-9ED5-4C6C2BE2E737}"/>
              </c:ext>
            </c:extLst>
          </c:dPt>
          <c:cat>
            <c:strRef>
              <c:f>'Graf. líneas'!$U$40:$U$44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líneas'!$Y$40:$Y$44</c:f>
              <c:numCache>
                <c:formatCode>#,##0</c:formatCode>
                <c:ptCount val="5"/>
                <c:pt idx="0">
                  <c:v>2000</c:v>
                </c:pt>
                <c:pt idx="1">
                  <c:v>2100</c:v>
                </c:pt>
                <c:pt idx="2">
                  <c:v>408.25110800969998</c:v>
                </c:pt>
                <c:pt idx="3">
                  <c:v>476.91317550479994</c:v>
                </c:pt>
                <c:pt idx="4">
                  <c:v>1041.5128264049001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0-9B71-4EA0-9ED5-4C6C2BE2E737}"/>
            </c:ext>
          </c:extLst>
        </c:ser>
        <c:ser>
          <c:idx val="4"/>
          <c:order val="4"/>
          <c:tx>
            <c:strRef>
              <c:f>'Graf. líneas'!$Z$39</c:f>
              <c:strCache>
                <c:ptCount val="1"/>
                <c:pt idx="0">
                  <c:v>Serie 5</c:v>
                </c:pt>
              </c:strCache>
            </c:strRef>
          </c:tx>
          <c:spPr>
            <a:ln w="38100" cmpd="sng">
              <a:solidFill>
                <a:srgbClr val="FFE761"/>
              </a:solidFill>
            </a:ln>
          </c:spPr>
          <c:marker>
            <c:symbol val="circle"/>
            <c:size val="9"/>
            <c:spPr>
              <a:solidFill>
                <a:srgbClr val="FFE761"/>
              </a:solidFill>
              <a:ln w="117475" cmpd="sng">
                <a:solidFill>
                  <a:srgbClr val="FFE761">
                    <a:alpha val="25000"/>
                  </a:srgbClr>
                </a:solidFill>
              </a:ln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9B71-4EA0-9ED5-4C6C2BE2E73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9B71-4EA0-9ED5-4C6C2BE2E73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9B71-4EA0-9ED5-4C6C2BE2E737}"/>
              </c:ext>
            </c:extLst>
          </c:dPt>
          <c:cat>
            <c:strRef>
              <c:f>'Graf. líneas'!$U$40:$U$44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líneas'!$Z$40:$Z$44</c:f>
              <c:numCache>
                <c:formatCode>#,##0</c:formatCode>
                <c:ptCount val="5"/>
                <c:pt idx="0">
                  <c:v>1800</c:v>
                </c:pt>
                <c:pt idx="1">
                  <c:v>650</c:v>
                </c:pt>
                <c:pt idx="2">
                  <c:v>2000</c:v>
                </c:pt>
                <c:pt idx="3">
                  <c:v>1500</c:v>
                </c:pt>
                <c:pt idx="4">
                  <c:v>1140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4-9B71-4EA0-9ED5-4C6C2BE2E737}"/>
            </c:ext>
          </c:extLst>
        </c:ser>
        <c:ser>
          <c:idx val="5"/>
          <c:order val="5"/>
          <c:tx>
            <c:strRef>
              <c:f>'Graf. líneas'!$AA$39</c:f>
              <c:strCache>
                <c:ptCount val="1"/>
                <c:pt idx="0">
                  <c:v>Serie 6</c:v>
                </c:pt>
              </c:strCache>
            </c:strRef>
          </c:tx>
          <c:spPr>
            <a:ln w="38100" cmpd="sng">
              <a:solidFill>
                <a:srgbClr val="8BE1E9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8BE1E9"/>
              </a:solidFill>
              <a:ln w="117475" cmpd="sng">
                <a:solidFill>
                  <a:srgbClr val="8BE1E9">
                    <a:alpha val="25000"/>
                  </a:srgbClr>
                </a:solidFill>
              </a:ln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9B71-4EA0-9ED5-4C6C2BE2E737}"/>
              </c:ext>
            </c:extLst>
          </c:dPt>
          <c:cat>
            <c:strRef>
              <c:f>'Graf. líneas'!$U$40:$U$44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líneas'!$AA$40:$AA$42</c:f>
              <c:numCache>
                <c:formatCode>#,##0</c:formatCode>
                <c:ptCount val="3"/>
                <c:pt idx="0">
                  <c:v>2400</c:v>
                </c:pt>
                <c:pt idx="1">
                  <c:v>2600</c:v>
                </c:pt>
                <c:pt idx="2">
                  <c:v>3450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6-9B71-4EA0-9ED5-4C6C2BE2E737}"/>
            </c:ext>
          </c:extLst>
        </c:ser>
        <c:ser>
          <c:idx val="6"/>
          <c:order val="6"/>
          <c:tx>
            <c:strRef>
              <c:f>'Graf. líneas'!$AB$39</c:f>
              <c:strCache>
                <c:ptCount val="1"/>
                <c:pt idx="0">
                  <c:v>Serie 7</c:v>
                </c:pt>
              </c:strCache>
            </c:strRef>
          </c:tx>
          <c:spPr>
            <a:ln w="38100" cmpd="sng">
              <a:solidFill>
                <a:srgbClr val="9694FF"/>
              </a:solidFill>
            </a:ln>
          </c:spPr>
          <c:marker>
            <c:symbol val="circle"/>
            <c:size val="9"/>
            <c:spPr>
              <a:solidFill>
                <a:srgbClr val="9694FF"/>
              </a:solidFill>
              <a:ln w="117475" cmpd="sng">
                <a:solidFill>
                  <a:srgbClr val="9694FF">
                    <a:alpha val="25000"/>
                  </a:srgbClr>
                </a:solidFill>
              </a:ln>
            </c:spPr>
          </c:marker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9B71-4EA0-9ED5-4C6C2BE2E737}"/>
              </c:ext>
            </c:extLst>
          </c:dPt>
          <c:cat>
            <c:strRef>
              <c:f>'Graf. líneas'!$U$40:$U$44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líneas'!$AB$40:$AB$42</c:f>
              <c:numCache>
                <c:formatCode>#,##0</c:formatCode>
                <c:ptCount val="3"/>
                <c:pt idx="0">
                  <c:v>950</c:v>
                </c:pt>
                <c:pt idx="1">
                  <c:v>1248</c:v>
                </c:pt>
                <c:pt idx="2">
                  <c:v>3000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8-9B71-4EA0-9ED5-4C6C2BE2E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971172"/>
        <c:axId val="419672476"/>
      </c:lineChart>
      <c:catAx>
        <c:axId val="6569711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ln>
            <a:noFill/>
          </a:ln>
        </c:spPr>
        <c:txPr>
          <a:bodyPr/>
          <a:lstStyle/>
          <a:p>
            <a:pPr lvl="0">
              <a:defRPr sz="120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419672476"/>
        <c:crosses val="autoZero"/>
        <c:auto val="1"/>
        <c:lblAlgn val="ctr"/>
        <c:lblOffset val="100"/>
        <c:noMultiLvlLbl val="1"/>
      </c:catAx>
      <c:valAx>
        <c:axId val="419672476"/>
        <c:scaling>
          <c:orientation val="minMax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656971172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7518045523651289"/>
          <c:y val="5.2843137254901966E-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6.4784805259031172E-2"/>
          <c:y val="6.3725490196078427E-2"/>
          <c:w val="0.76663721308959265"/>
          <c:h val="0.81617647058823528"/>
        </c:manualLayout>
      </c:layout>
      <c:lineChart>
        <c:grouping val="standard"/>
        <c:varyColors val="1"/>
        <c:ser>
          <c:idx val="0"/>
          <c:order val="0"/>
          <c:tx>
            <c:strRef>
              <c:f>'Graf. líneas'!$L$39</c:f>
              <c:strCache>
                <c:ptCount val="1"/>
                <c:pt idx="0">
                  <c:v>Serie 1</c:v>
                </c:pt>
              </c:strCache>
            </c:strRef>
          </c:tx>
          <c:spPr>
            <a:ln w="38100" cmpd="sng">
              <a:solidFill>
                <a:schemeClr val="tx1"/>
              </a:solidFill>
            </a:ln>
          </c:spPr>
          <c:marker>
            <c:symbol val="circle"/>
            <c:size val="9"/>
            <c:spPr>
              <a:solidFill>
                <a:srgbClr val="001391"/>
              </a:solidFill>
              <a:ln cmpd="sng">
                <a:solidFill>
                  <a:srgbClr val="001391"/>
                </a:solidFill>
              </a:ln>
            </c:spPr>
          </c:marker>
          <c:dPt>
            <c:idx val="0"/>
            <c:marker>
              <c:spPr>
                <a:solidFill>
                  <a:srgbClr val="001391"/>
                </a:solidFill>
                <a:ln w="117475" cmpd="sng">
                  <a:solidFill>
                    <a:srgbClr val="001391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067F-4629-9703-B1E6CB8170EB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4747-49E0-B088-7521C96791B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4747-49E0-B088-7521C96791B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4747-49E0-B088-7521C96791B7}"/>
              </c:ext>
            </c:extLst>
          </c:dPt>
          <c:dPt>
            <c:idx val="4"/>
            <c:marker>
              <c:spPr>
                <a:solidFill>
                  <a:srgbClr val="001391"/>
                </a:solidFill>
                <a:ln w="117475" cmpd="sng">
                  <a:solidFill>
                    <a:srgbClr val="001391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067F-4629-9703-B1E6CB8170EB}"/>
              </c:ext>
            </c:extLst>
          </c:dPt>
          <c:cat>
            <c:strRef>
              <c:f>'Graf. líneas'!$K$40:$K$44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líneas'!$L$40:$L$44</c:f>
              <c:numCache>
                <c:formatCode>#,##0</c:formatCode>
                <c:ptCount val="5"/>
                <c:pt idx="0">
                  <c:v>3988.3713124787</c:v>
                </c:pt>
                <c:pt idx="1">
                  <c:v>4140.6611174961999</c:v>
                </c:pt>
                <c:pt idx="2">
                  <c:v>4216.8445622378003</c:v>
                </c:pt>
                <c:pt idx="3">
                  <c:v>4121.2417658474005</c:v>
                </c:pt>
                <c:pt idx="4">
                  <c:v>4243.6432303025995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4747-49E0-B088-7521C96791B7}"/>
            </c:ext>
          </c:extLst>
        </c:ser>
        <c:ser>
          <c:idx val="1"/>
          <c:order val="1"/>
          <c:tx>
            <c:strRef>
              <c:f>'Graf. líneas'!$M$39</c:f>
              <c:strCache>
                <c:ptCount val="1"/>
                <c:pt idx="0">
                  <c:v>Serie 2</c:v>
                </c:pt>
              </c:strCache>
            </c:strRef>
          </c:tx>
          <c:spPr>
            <a:ln w="38100" cmpd="sng">
              <a:solidFill>
                <a:schemeClr val="accent1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85C8FF"/>
              </a:solidFill>
              <a:ln cmpd="sng">
                <a:solidFill>
                  <a:srgbClr val="85C8FF"/>
                </a:solidFill>
              </a:ln>
            </c:spPr>
          </c:marker>
          <c:dPt>
            <c:idx val="0"/>
            <c:marker>
              <c:spPr>
                <a:solidFill>
                  <a:srgbClr val="85C8FF"/>
                </a:solidFill>
                <a:ln w="117475" cmpd="sng">
                  <a:solidFill>
                    <a:srgbClr val="85C8FF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067F-4629-9703-B1E6CB8170EB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4747-49E0-B088-7521C96791B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5-4747-49E0-B088-7521C96791B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6-4747-49E0-B088-7521C96791B7}"/>
              </c:ext>
            </c:extLst>
          </c:dPt>
          <c:dPt>
            <c:idx val="4"/>
            <c:marker>
              <c:spPr>
                <a:solidFill>
                  <a:srgbClr val="85C8FF"/>
                </a:solidFill>
                <a:ln w="117475" cmpd="sng">
                  <a:solidFill>
                    <a:srgbClr val="85C8FF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067F-4629-9703-B1E6CB8170EB}"/>
              </c:ext>
            </c:extLst>
          </c:dPt>
          <c:cat>
            <c:strRef>
              <c:f>'Graf. líneas'!$K$40:$K$44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líneas'!$M$40:$M$44</c:f>
              <c:numCache>
                <c:formatCode>#,##0</c:formatCode>
                <c:ptCount val="5"/>
                <c:pt idx="0">
                  <c:v>6052</c:v>
                </c:pt>
                <c:pt idx="1">
                  <c:v>5568</c:v>
                </c:pt>
                <c:pt idx="2">
                  <c:v>5830</c:v>
                </c:pt>
                <c:pt idx="3">
                  <c:v>5752</c:v>
                </c:pt>
                <c:pt idx="4">
                  <c:v>6481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4747-49E0-B088-7521C96791B7}"/>
            </c:ext>
          </c:extLst>
        </c:ser>
        <c:ser>
          <c:idx val="2"/>
          <c:order val="2"/>
          <c:tx>
            <c:strRef>
              <c:f>'Graf. líneas'!$N$39</c:f>
              <c:strCache>
                <c:ptCount val="1"/>
                <c:pt idx="0">
                  <c:v>Serie 3</c:v>
                </c:pt>
              </c:strCache>
            </c:strRef>
          </c:tx>
          <c:spPr>
            <a:ln w="38100" cmpd="sng">
              <a:solidFill>
                <a:schemeClr val="accent5"/>
              </a:solidFill>
            </a:ln>
          </c:spPr>
          <c:marker>
            <c:symbol val="circle"/>
            <c:size val="9"/>
            <c:spPr>
              <a:solidFill>
                <a:srgbClr val="88E783"/>
              </a:solidFill>
              <a:ln cmpd="sng">
                <a:solidFill>
                  <a:srgbClr val="88E783"/>
                </a:solidFill>
              </a:ln>
            </c:spPr>
          </c:marker>
          <c:dPt>
            <c:idx val="0"/>
            <c:marker>
              <c:spPr>
                <a:solidFill>
                  <a:srgbClr val="88E783"/>
                </a:solidFill>
                <a:ln w="117475" cmpd="sng">
                  <a:solidFill>
                    <a:srgbClr val="88E783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067F-4629-9703-B1E6CB8170EB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8-4747-49E0-B088-7521C96791B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4747-49E0-B088-7521C96791B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4747-49E0-B088-7521C96791B7}"/>
              </c:ext>
            </c:extLst>
          </c:dPt>
          <c:dPt>
            <c:idx val="4"/>
            <c:marker>
              <c:spPr>
                <a:solidFill>
                  <a:srgbClr val="88E783"/>
                </a:solidFill>
                <a:ln w="117475" cmpd="sng">
                  <a:solidFill>
                    <a:srgbClr val="88E783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067F-4629-9703-B1E6CB8170EB}"/>
              </c:ext>
            </c:extLst>
          </c:dPt>
          <c:cat>
            <c:strRef>
              <c:f>'Graf. líneas'!$K$40:$K$44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líneas'!$N$40:$N$44</c:f>
              <c:numCache>
                <c:formatCode>#,##0</c:formatCode>
                <c:ptCount val="5"/>
                <c:pt idx="0">
                  <c:v>400</c:v>
                </c:pt>
                <c:pt idx="1">
                  <c:v>1000</c:v>
                </c:pt>
                <c:pt idx="2">
                  <c:v>1500</c:v>
                </c:pt>
                <c:pt idx="3">
                  <c:v>1153.9614945781</c:v>
                </c:pt>
                <c:pt idx="4">
                  <c:v>1195.7635017018999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4747-49E0-B088-7521C96791B7}"/>
            </c:ext>
          </c:extLst>
        </c:ser>
        <c:ser>
          <c:idx val="3"/>
          <c:order val="3"/>
          <c:tx>
            <c:strRef>
              <c:f>'Graf. líneas'!$O$39</c:f>
              <c:strCache>
                <c:ptCount val="1"/>
                <c:pt idx="0">
                  <c:v>Serie 4</c:v>
                </c:pt>
              </c:strCache>
            </c:strRef>
          </c:tx>
          <c:spPr>
            <a:ln w="38100" cmpd="sng">
              <a:solidFill>
                <a:schemeClr val="accent3"/>
              </a:solidFill>
            </a:ln>
          </c:spPr>
          <c:marker>
            <c:symbol val="circle"/>
            <c:size val="9"/>
            <c:spPr>
              <a:solidFill>
                <a:srgbClr val="FFB56B"/>
              </a:solidFill>
              <a:ln cmpd="sng">
                <a:solidFill>
                  <a:srgbClr val="FFB56B"/>
                </a:solidFill>
              </a:ln>
            </c:spPr>
          </c:marker>
          <c:dPt>
            <c:idx val="0"/>
            <c:marker>
              <c:spPr>
                <a:solidFill>
                  <a:srgbClr val="FFB56B"/>
                </a:solidFill>
                <a:ln w="117475" cmpd="sng">
                  <a:solidFill>
                    <a:srgbClr val="FFB56B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C-4747-49E0-B088-7521C96791B7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4747-49E0-B088-7521C96791B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E-4747-49E0-B088-7521C96791B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F-4747-49E0-B088-7521C96791B7}"/>
              </c:ext>
            </c:extLst>
          </c:dPt>
          <c:dPt>
            <c:idx val="4"/>
            <c:marker>
              <c:spPr>
                <a:solidFill>
                  <a:srgbClr val="FFB56B"/>
                </a:solidFill>
                <a:ln w="117475" cmpd="sng">
                  <a:solidFill>
                    <a:srgbClr val="FFB56B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067F-4629-9703-B1E6CB8170EB}"/>
              </c:ext>
            </c:extLst>
          </c:dPt>
          <c:cat>
            <c:strRef>
              <c:f>'Graf. líneas'!$K$40:$K$44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líneas'!$O$40:$O$44</c:f>
              <c:numCache>
                <c:formatCode>#,##0</c:formatCode>
                <c:ptCount val="5"/>
                <c:pt idx="0">
                  <c:v>2000</c:v>
                </c:pt>
                <c:pt idx="1">
                  <c:v>2100</c:v>
                </c:pt>
                <c:pt idx="2">
                  <c:v>408.25110800969998</c:v>
                </c:pt>
                <c:pt idx="3">
                  <c:v>476.91317550479994</c:v>
                </c:pt>
                <c:pt idx="4">
                  <c:v>1041.5128264049001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0-4747-49E0-B088-7521C96791B7}"/>
            </c:ext>
          </c:extLst>
        </c:ser>
        <c:ser>
          <c:idx val="4"/>
          <c:order val="4"/>
          <c:tx>
            <c:strRef>
              <c:f>'Graf. líneas'!$P$39</c:f>
              <c:strCache>
                <c:ptCount val="1"/>
                <c:pt idx="0">
                  <c:v>Serie 5</c:v>
                </c:pt>
              </c:strCache>
            </c:strRef>
          </c:tx>
          <c:spPr>
            <a:ln w="38100" cmpd="sng">
              <a:solidFill>
                <a:schemeClr val="accent4"/>
              </a:solidFill>
            </a:ln>
          </c:spPr>
          <c:marker>
            <c:symbol val="circle"/>
            <c:size val="9"/>
            <c:spPr>
              <a:solidFill>
                <a:srgbClr val="FFE761"/>
              </a:solidFill>
              <a:ln cmpd="sng">
                <a:solidFill>
                  <a:srgbClr val="FFE761"/>
                </a:solidFill>
              </a:ln>
            </c:spPr>
          </c:marker>
          <c:dPt>
            <c:idx val="0"/>
            <c:marker>
              <c:spPr>
                <a:solidFill>
                  <a:srgbClr val="FFE761"/>
                </a:solidFill>
                <a:ln w="117475" cmpd="sng">
                  <a:solidFill>
                    <a:srgbClr val="FFE761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067F-4629-9703-B1E6CB8170EB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1-4747-49E0-B088-7521C96791B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2-4747-49E0-B088-7521C96791B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4747-49E0-B088-7521C96791B7}"/>
              </c:ext>
            </c:extLst>
          </c:dPt>
          <c:dPt>
            <c:idx val="4"/>
            <c:marker>
              <c:spPr>
                <a:solidFill>
                  <a:srgbClr val="FFE761"/>
                </a:solidFill>
                <a:ln w="117475" cmpd="sng">
                  <a:solidFill>
                    <a:srgbClr val="FFE761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067F-4629-9703-B1E6CB8170EB}"/>
              </c:ext>
            </c:extLst>
          </c:dPt>
          <c:cat>
            <c:strRef>
              <c:f>'Graf. líneas'!$K$40:$K$44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líneas'!$P$40:$P$44</c:f>
              <c:numCache>
                <c:formatCode>#,##0</c:formatCode>
                <c:ptCount val="5"/>
                <c:pt idx="0">
                  <c:v>1800</c:v>
                </c:pt>
                <c:pt idx="1">
                  <c:v>650</c:v>
                </c:pt>
                <c:pt idx="2">
                  <c:v>2000</c:v>
                </c:pt>
                <c:pt idx="3">
                  <c:v>1500</c:v>
                </c:pt>
                <c:pt idx="4">
                  <c:v>1140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4-4747-49E0-B088-7521C96791B7}"/>
            </c:ext>
          </c:extLst>
        </c:ser>
        <c:ser>
          <c:idx val="5"/>
          <c:order val="5"/>
          <c:tx>
            <c:strRef>
              <c:f>'Graf. líneas'!$Q$39</c:f>
              <c:strCache>
                <c:ptCount val="1"/>
                <c:pt idx="0">
                  <c:v>Serie 6</c:v>
                </c:pt>
              </c:strCache>
            </c:strRef>
          </c:tx>
          <c:spPr>
            <a:ln w="38100" cmpd="sng">
              <a:solidFill>
                <a:srgbClr val="8BE1E9"/>
              </a:solidFill>
            </a:ln>
          </c:spPr>
          <c:marker>
            <c:symbol val="circle"/>
            <c:size val="9"/>
            <c:spPr>
              <a:solidFill>
                <a:srgbClr val="8BE1E9"/>
              </a:solidFill>
              <a:ln cmpd="sng">
                <a:solidFill>
                  <a:srgbClr val="8BE1E9"/>
                </a:solidFill>
              </a:ln>
            </c:spPr>
          </c:marker>
          <c:dPt>
            <c:idx val="0"/>
            <c:marker>
              <c:spPr>
                <a:solidFill>
                  <a:srgbClr val="8BE1E9"/>
                </a:solidFill>
                <a:ln w="117475" cmpd="sng">
                  <a:solidFill>
                    <a:srgbClr val="8BE1E9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067F-4629-9703-B1E6CB8170EB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5-4747-49E0-B088-7521C96791B7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4747-49E0-B088-7521C96791B7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7-4747-49E0-B088-7521C96791B7}"/>
              </c:ext>
            </c:extLst>
          </c:dPt>
          <c:dPt>
            <c:idx val="4"/>
            <c:marker>
              <c:spPr>
                <a:solidFill>
                  <a:srgbClr val="8BE1E9">
                    <a:alpha val="97000"/>
                  </a:srgbClr>
                </a:solidFill>
                <a:ln w="117475" cmpd="sng">
                  <a:solidFill>
                    <a:srgbClr val="8BE1E9">
                      <a:alpha val="25000"/>
                    </a:srgb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067F-4629-9703-B1E6CB8170EB}"/>
              </c:ext>
            </c:extLst>
          </c:dPt>
          <c:cat>
            <c:strRef>
              <c:f>'Graf. líneas'!$K$40:$K$44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líneas'!$Q$40:$Q$44</c:f>
              <c:numCache>
                <c:formatCode>#,##0</c:formatCode>
                <c:ptCount val="5"/>
                <c:pt idx="0">
                  <c:v>2400</c:v>
                </c:pt>
                <c:pt idx="1">
                  <c:v>2600</c:v>
                </c:pt>
                <c:pt idx="2">
                  <c:v>3450</c:v>
                </c:pt>
                <c:pt idx="3">
                  <c:v>3548</c:v>
                </c:pt>
                <c:pt idx="4">
                  <c:v>3548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18-4747-49E0-B088-7521C96791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6714303"/>
        <c:axId val="1212408373"/>
      </c:lineChart>
      <c:catAx>
        <c:axId val="152671430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20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212408373"/>
        <c:crosses val="autoZero"/>
        <c:auto val="1"/>
        <c:lblAlgn val="ctr"/>
        <c:lblOffset val="100"/>
        <c:noMultiLvlLbl val="1"/>
      </c:catAx>
      <c:valAx>
        <c:axId val="1212408373"/>
        <c:scaling>
          <c:orientation val="minMax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526714303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7518045523651289"/>
          <c:y val="5.2843137254901966E-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0.1"/>
          <c:y val="6.3725490196078427E-2"/>
          <c:w val="0.69122807017543864"/>
          <c:h val="0.81617647058823528"/>
        </c:manualLayout>
      </c:layout>
      <c:lineChart>
        <c:grouping val="standard"/>
        <c:varyColors val="1"/>
        <c:ser>
          <c:idx val="0"/>
          <c:order val="0"/>
          <c:tx>
            <c:strRef>
              <c:f>'Graf. líneas'!$C$39</c:f>
              <c:strCache>
                <c:ptCount val="1"/>
                <c:pt idx="0">
                  <c:v>Serie 1</c:v>
                </c:pt>
              </c:strCache>
            </c:strRef>
          </c:tx>
          <c:spPr>
            <a:ln w="57150" cmpd="sng">
              <a:solidFill>
                <a:schemeClr val="tx1"/>
              </a:solidFill>
            </a:ln>
          </c:spPr>
          <c:marker>
            <c:symbol val="none"/>
          </c:marker>
          <c:cat>
            <c:strRef>
              <c:f>'Graf. líneas'!$B$40:$B$44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líneas'!$C$40:$C$44</c:f>
              <c:numCache>
                <c:formatCode>#,##0</c:formatCode>
                <c:ptCount val="5"/>
                <c:pt idx="0">
                  <c:v>3988.3713124787</c:v>
                </c:pt>
                <c:pt idx="1">
                  <c:v>4140.6611174961999</c:v>
                </c:pt>
                <c:pt idx="2">
                  <c:v>4216.8445622378003</c:v>
                </c:pt>
                <c:pt idx="3">
                  <c:v>4121.2417658474005</c:v>
                </c:pt>
                <c:pt idx="4">
                  <c:v>4243.6432303025995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1AD-4849-A504-65DA950E62FB}"/>
            </c:ext>
          </c:extLst>
        </c:ser>
        <c:ser>
          <c:idx val="1"/>
          <c:order val="1"/>
          <c:tx>
            <c:strRef>
              <c:f>'Graf. líneas'!$D$39</c:f>
              <c:strCache>
                <c:ptCount val="1"/>
                <c:pt idx="0">
                  <c:v>Serie 2</c:v>
                </c:pt>
              </c:strCache>
            </c:strRef>
          </c:tx>
          <c:spPr>
            <a:ln w="57150" cmpd="sng">
              <a:solidFill>
                <a:srgbClr val="85C8FF"/>
              </a:solidFill>
              <a:prstDash val="solid"/>
            </a:ln>
          </c:spPr>
          <c:marker>
            <c:symbol val="none"/>
          </c:marker>
          <c:cat>
            <c:strRef>
              <c:f>'Graf. líneas'!$B$40:$B$44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líneas'!$D$40:$D$44</c:f>
              <c:numCache>
                <c:formatCode>#,##0</c:formatCode>
                <c:ptCount val="5"/>
                <c:pt idx="0">
                  <c:v>6052</c:v>
                </c:pt>
                <c:pt idx="1">
                  <c:v>5568</c:v>
                </c:pt>
                <c:pt idx="2">
                  <c:v>5830</c:v>
                </c:pt>
                <c:pt idx="3">
                  <c:v>5752</c:v>
                </c:pt>
                <c:pt idx="4">
                  <c:v>6481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1AD-4849-A504-65DA950E62FB}"/>
            </c:ext>
          </c:extLst>
        </c:ser>
        <c:ser>
          <c:idx val="2"/>
          <c:order val="2"/>
          <c:tx>
            <c:strRef>
              <c:f>'Graf. líneas'!$E$39</c:f>
              <c:strCache>
                <c:ptCount val="1"/>
                <c:pt idx="0">
                  <c:v>Serie 3</c:v>
                </c:pt>
              </c:strCache>
            </c:strRef>
          </c:tx>
          <c:spPr>
            <a:ln w="57150" cmpd="sng">
              <a:solidFill>
                <a:schemeClr val="accent5"/>
              </a:solidFill>
            </a:ln>
          </c:spPr>
          <c:marker>
            <c:symbol val="none"/>
          </c:marker>
          <c:cat>
            <c:strRef>
              <c:f>'Graf. líneas'!$B$40:$B$44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líneas'!$E$40:$E$44</c:f>
              <c:numCache>
                <c:formatCode>#,##0</c:formatCode>
                <c:ptCount val="5"/>
                <c:pt idx="0">
                  <c:v>400</c:v>
                </c:pt>
                <c:pt idx="1">
                  <c:v>1000</c:v>
                </c:pt>
                <c:pt idx="2">
                  <c:v>1500</c:v>
                </c:pt>
                <c:pt idx="3">
                  <c:v>1153.9614945781</c:v>
                </c:pt>
                <c:pt idx="4">
                  <c:v>1195.7635017018999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1AD-4849-A504-65DA950E62FB}"/>
            </c:ext>
          </c:extLst>
        </c:ser>
        <c:ser>
          <c:idx val="3"/>
          <c:order val="3"/>
          <c:tx>
            <c:strRef>
              <c:f>'Graf. líneas'!$F$39</c:f>
              <c:strCache>
                <c:ptCount val="1"/>
                <c:pt idx="0">
                  <c:v>Serie 4</c:v>
                </c:pt>
              </c:strCache>
            </c:strRef>
          </c:tx>
          <c:spPr>
            <a:ln w="57150" cmpd="sng">
              <a:solidFill>
                <a:schemeClr val="accent3"/>
              </a:solidFill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3-A1AD-4849-A504-65DA950E62FB}"/>
              </c:ext>
            </c:extLst>
          </c:dPt>
          <c:cat>
            <c:strRef>
              <c:f>'Graf. líneas'!$B$40:$B$44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líneas'!$F$40:$F$44</c:f>
              <c:numCache>
                <c:formatCode>#,##0</c:formatCode>
                <c:ptCount val="5"/>
                <c:pt idx="0">
                  <c:v>2000</c:v>
                </c:pt>
                <c:pt idx="1">
                  <c:v>2100</c:v>
                </c:pt>
                <c:pt idx="2">
                  <c:v>408.25110800969998</c:v>
                </c:pt>
                <c:pt idx="3">
                  <c:v>476.91317550479994</c:v>
                </c:pt>
                <c:pt idx="4">
                  <c:v>1041.5128264049001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A1AD-4849-A504-65DA950E6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8190451"/>
        <c:axId val="502073554"/>
      </c:lineChart>
      <c:catAx>
        <c:axId val="5381904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20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502073554"/>
        <c:crosses val="autoZero"/>
        <c:auto val="1"/>
        <c:lblAlgn val="ctr"/>
        <c:lblOffset val="100"/>
        <c:noMultiLvlLbl val="1"/>
      </c:catAx>
      <c:valAx>
        <c:axId val="502073554"/>
        <c:scaling>
          <c:orientation val="minMax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538190451"/>
        <c:crosses val="autoZero"/>
        <c:crossBetween val="between"/>
      </c:valAx>
      <c:spPr>
        <a:noFill/>
      </c:spPr>
    </c:plotArea>
    <c:legend>
      <c:legendPos val="r"/>
      <c:layout>
        <c:manualLayout>
          <c:xMode val="edge"/>
          <c:yMode val="edge"/>
          <c:x val="0.84784578083006246"/>
          <c:y val="5.8823529411764705E-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1528461573882212"/>
          <c:y val="7.7442746127322326E-2"/>
          <c:w val="0.67594345443661652"/>
          <c:h val="0.72584169625855588"/>
        </c:manualLayout>
      </c:layout>
      <c:lineChart>
        <c:grouping val="standard"/>
        <c:varyColors val="1"/>
        <c:ser>
          <c:idx val="0"/>
          <c:order val="0"/>
          <c:tx>
            <c:strRef>
              <c:f>'Graf. líneas'!$V$4</c:f>
              <c:strCache>
                <c:ptCount val="1"/>
                <c:pt idx="0">
                  <c:v>Serie 1</c:v>
                </c:pt>
              </c:strCache>
            </c:strRef>
          </c:tx>
          <c:spPr>
            <a:ln w="57150" cmpd="sng">
              <a:solidFill>
                <a:schemeClr val="tx1"/>
              </a:solidFill>
            </a:ln>
          </c:spPr>
          <c:marker>
            <c:symbol val="none"/>
          </c:marker>
          <c:cat>
            <c:strRef>
              <c:f>'Graf. líneas'!$U$5:$U$9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líneas'!$V$5:$V$9</c:f>
              <c:numCache>
                <c:formatCode>#,##0</c:formatCode>
                <c:ptCount val="5"/>
                <c:pt idx="0">
                  <c:v>3988.3713124787</c:v>
                </c:pt>
                <c:pt idx="1">
                  <c:v>4140.6611174961999</c:v>
                </c:pt>
                <c:pt idx="2">
                  <c:v>4216.8445622378003</c:v>
                </c:pt>
                <c:pt idx="3">
                  <c:v>4121.2417658474005</c:v>
                </c:pt>
                <c:pt idx="4">
                  <c:v>4243.6432303025995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6D-41C7-9F9A-927ACB2F593E}"/>
            </c:ext>
          </c:extLst>
        </c:ser>
        <c:ser>
          <c:idx val="1"/>
          <c:order val="1"/>
          <c:tx>
            <c:strRef>
              <c:f>'Graf. líneas'!$W$4</c:f>
              <c:strCache>
                <c:ptCount val="1"/>
                <c:pt idx="0">
                  <c:v>Serie 2</c:v>
                </c:pt>
              </c:strCache>
            </c:strRef>
          </c:tx>
          <c:spPr>
            <a:ln w="57150" cmpd="sng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'Graf. líneas'!$U$5:$U$9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líneas'!$W$5:$W$9</c:f>
              <c:numCache>
                <c:formatCode>#,##0</c:formatCode>
                <c:ptCount val="5"/>
                <c:pt idx="0">
                  <c:v>6052</c:v>
                </c:pt>
                <c:pt idx="1">
                  <c:v>5568</c:v>
                </c:pt>
                <c:pt idx="2">
                  <c:v>5830</c:v>
                </c:pt>
                <c:pt idx="3">
                  <c:v>5752</c:v>
                </c:pt>
                <c:pt idx="4">
                  <c:v>6481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46D-41C7-9F9A-927ACB2F593E}"/>
            </c:ext>
          </c:extLst>
        </c:ser>
        <c:ser>
          <c:idx val="2"/>
          <c:order val="2"/>
          <c:tx>
            <c:strRef>
              <c:f>'Graf. líneas'!$X$4</c:f>
              <c:strCache>
                <c:ptCount val="1"/>
                <c:pt idx="0">
                  <c:v>Serie 3</c:v>
                </c:pt>
              </c:strCache>
            </c:strRef>
          </c:tx>
          <c:spPr>
            <a:ln w="57150" cmpd="sng">
              <a:solidFill>
                <a:schemeClr val="accent5"/>
              </a:solidFill>
            </a:ln>
          </c:spPr>
          <c:marker>
            <c:symbol val="none"/>
          </c:marker>
          <c:cat>
            <c:strRef>
              <c:f>'Graf. líneas'!$U$5:$U$9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líneas'!$X$5:$X$9</c:f>
              <c:numCache>
                <c:formatCode>#,##0</c:formatCode>
                <c:ptCount val="5"/>
                <c:pt idx="0">
                  <c:v>400</c:v>
                </c:pt>
                <c:pt idx="1">
                  <c:v>1000</c:v>
                </c:pt>
                <c:pt idx="2">
                  <c:v>1500</c:v>
                </c:pt>
                <c:pt idx="3">
                  <c:v>1153.9614945781</c:v>
                </c:pt>
                <c:pt idx="4">
                  <c:v>1195.7635017018999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746D-41C7-9F9A-927ACB2F5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9679961"/>
        <c:axId val="197324687"/>
      </c:lineChart>
      <c:catAx>
        <c:axId val="193967996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20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97324687"/>
        <c:crosses val="autoZero"/>
        <c:auto val="1"/>
        <c:lblAlgn val="ctr"/>
        <c:lblOffset val="100"/>
        <c:noMultiLvlLbl val="1"/>
      </c:catAx>
      <c:valAx>
        <c:axId val="197324687"/>
        <c:scaling>
          <c:orientation val="minMax"/>
          <c:max val="8000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939679961"/>
        <c:crosses val="autoZero"/>
        <c:crossBetween val="between"/>
        <c:majorUnit val="2000"/>
      </c:valAx>
      <c:spPr>
        <a:noFill/>
      </c:spPr>
    </c:plotArea>
    <c:legend>
      <c:legendPos val="r"/>
      <c:layout>
        <c:manualLayout>
          <c:xMode val="edge"/>
          <c:yMode val="edge"/>
          <c:x val="0.84784578083006246"/>
          <c:y val="5.8823529411764705E-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4207395128240549"/>
          <c:y val="9.6405228758169939E-2"/>
          <c:w val="0.64915411889303309"/>
          <c:h val="0.74282692604600897"/>
        </c:manualLayout>
      </c:layout>
      <c:lineChart>
        <c:grouping val="standard"/>
        <c:varyColors val="1"/>
        <c:ser>
          <c:idx val="0"/>
          <c:order val="0"/>
          <c:tx>
            <c:strRef>
              <c:f>'Graf. líneas'!$L$5</c:f>
              <c:strCache>
                <c:ptCount val="1"/>
                <c:pt idx="0">
                  <c:v>Serie 1</c:v>
                </c:pt>
              </c:strCache>
            </c:strRef>
          </c:tx>
          <c:spPr>
            <a:ln w="57150" cmpd="sng">
              <a:solidFill>
                <a:schemeClr val="tx1"/>
              </a:solidFill>
            </a:ln>
          </c:spPr>
          <c:marker>
            <c:symbol val="none"/>
          </c:marker>
          <c:cat>
            <c:strRef>
              <c:f>'Graf. líneas'!$K$6:$K$10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líneas'!$L$6:$L$10</c:f>
              <c:numCache>
                <c:formatCode>#,##0</c:formatCode>
                <c:ptCount val="5"/>
                <c:pt idx="0">
                  <c:v>3988.3713124787</c:v>
                </c:pt>
                <c:pt idx="1">
                  <c:v>4140.6611174961999</c:v>
                </c:pt>
                <c:pt idx="2">
                  <c:v>4216.8445622378003</c:v>
                </c:pt>
                <c:pt idx="3">
                  <c:v>4121.2417658474005</c:v>
                </c:pt>
                <c:pt idx="4">
                  <c:v>4243.6432303025995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253-45D6-AE14-D8094711FC74}"/>
            </c:ext>
          </c:extLst>
        </c:ser>
        <c:ser>
          <c:idx val="1"/>
          <c:order val="1"/>
          <c:tx>
            <c:strRef>
              <c:f>'Graf. líneas'!$M$5</c:f>
              <c:strCache>
                <c:ptCount val="1"/>
                <c:pt idx="0">
                  <c:v>Serie 2</c:v>
                </c:pt>
              </c:strCache>
            </c:strRef>
          </c:tx>
          <c:spPr>
            <a:ln w="57150" cmpd="sng">
              <a:solidFill>
                <a:schemeClr val="accent1"/>
              </a:solidFill>
              <a:prstDash val="solid"/>
            </a:ln>
          </c:spPr>
          <c:marker>
            <c:symbol val="none"/>
          </c:marker>
          <c:cat>
            <c:strRef>
              <c:f>'Graf. líneas'!$K$6:$K$10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líneas'!$M$6:$M$10</c:f>
              <c:numCache>
                <c:formatCode>#,##0</c:formatCode>
                <c:ptCount val="5"/>
                <c:pt idx="0">
                  <c:v>6052</c:v>
                </c:pt>
                <c:pt idx="1">
                  <c:v>5568</c:v>
                </c:pt>
                <c:pt idx="2">
                  <c:v>5830</c:v>
                </c:pt>
                <c:pt idx="3">
                  <c:v>5752</c:v>
                </c:pt>
                <c:pt idx="4">
                  <c:v>6481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253-45D6-AE14-D8094711F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1508012"/>
        <c:axId val="1848326795"/>
      </c:lineChart>
      <c:catAx>
        <c:axId val="10515080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solidFill>
            <a:schemeClr val="bg2"/>
          </a:solidFill>
          <a:ln>
            <a:noFill/>
          </a:ln>
        </c:spPr>
        <c:txPr>
          <a:bodyPr/>
          <a:lstStyle/>
          <a:p>
            <a:pPr lvl="0">
              <a:defRPr sz="120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848326795"/>
        <c:crosses val="autoZero"/>
        <c:auto val="1"/>
        <c:lblAlgn val="ctr"/>
        <c:lblOffset val="100"/>
        <c:noMultiLvlLbl val="1"/>
      </c:catAx>
      <c:valAx>
        <c:axId val="1848326795"/>
        <c:scaling>
          <c:orientation val="minMax"/>
          <c:max val="8000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051508012"/>
        <c:crosses val="autoZero"/>
        <c:crossBetween val="between"/>
        <c:majorUnit val="2000"/>
      </c:valAx>
      <c:spPr>
        <a:noFill/>
      </c:spPr>
    </c:plotArea>
    <c:legend>
      <c:legendPos val="r"/>
      <c:layout>
        <c:manualLayout>
          <c:xMode val="edge"/>
          <c:yMode val="edge"/>
          <c:x val="0.84784583506009115"/>
          <c:y val="7.5163398692810454E-2"/>
          <c:w val="0.12981314177833034"/>
          <c:h val="0.10130101384385776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3122604411290695"/>
          <c:y val="7.7442746127322326E-2"/>
          <c:w val="0.77930027167656679"/>
          <c:h val="0.75852143482064738"/>
        </c:manualLayout>
      </c:layout>
      <c:lineChart>
        <c:grouping val="standard"/>
        <c:varyColors val="1"/>
        <c:ser>
          <c:idx val="1"/>
          <c:order val="0"/>
          <c:tx>
            <c:strRef>
              <c:f>'Graf. líneas'!$C$5</c:f>
              <c:strCache>
                <c:ptCount val="1"/>
                <c:pt idx="0">
                  <c:v>Serie 1</c:v>
                </c:pt>
              </c:strCache>
            </c:strRef>
          </c:tx>
          <c:spPr>
            <a:ln w="31750">
              <a:solidFill>
                <a:schemeClr val="tx1"/>
              </a:solidFill>
            </a:ln>
          </c:spPr>
          <c:marker>
            <c:symbol val="circle"/>
            <c:size val="8"/>
            <c:spPr>
              <a:solidFill>
                <a:schemeClr val="dk1"/>
              </a:solidFill>
              <a:ln w="117475">
                <a:solidFill>
                  <a:schemeClr val="tx1">
                    <a:alpha val="25000"/>
                  </a:schemeClr>
                </a:solidFill>
              </a:ln>
            </c:spPr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6-F0E0-48D5-9405-E93C28E4298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7-F0E0-48D5-9405-E93C28E4298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8-F0E0-48D5-9405-E93C28E4298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9-F0E0-48D5-9405-E93C28E42984}"/>
              </c:ext>
            </c:extLst>
          </c:dPt>
          <c:cat>
            <c:strRef>
              <c:f>'Graf. líneas'!$B$6:$B$10</c:f>
              <c:strCache>
                <c:ptCount val="5"/>
                <c:pt idx="0">
                  <c:v>2T15</c:v>
                </c:pt>
                <c:pt idx="1">
                  <c:v>3T15</c:v>
                </c:pt>
                <c:pt idx="2">
                  <c:v>4T15</c:v>
                </c:pt>
                <c:pt idx="3">
                  <c:v>1T16</c:v>
                </c:pt>
                <c:pt idx="4">
                  <c:v>2T16</c:v>
                </c:pt>
              </c:strCache>
            </c:strRef>
          </c:cat>
          <c:val>
            <c:numRef>
              <c:f>'Graf. líneas'!$C$6:$C$10</c:f>
              <c:numCache>
                <c:formatCode>#,##0</c:formatCode>
                <c:ptCount val="5"/>
                <c:pt idx="0">
                  <c:v>3988.3713124787</c:v>
                </c:pt>
                <c:pt idx="1">
                  <c:v>4140.6611174961999</c:v>
                </c:pt>
                <c:pt idx="2">
                  <c:v>4216.8445622378003</c:v>
                </c:pt>
                <c:pt idx="3">
                  <c:v>4121.2417658474005</c:v>
                </c:pt>
                <c:pt idx="4">
                  <c:v>4243.6432303025995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A-F0E0-48D5-9405-E93C28E42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9186991"/>
        <c:axId val="1536630384"/>
      </c:lineChart>
      <c:catAx>
        <c:axId val="82918699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20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536630384"/>
        <c:crosses val="autoZero"/>
        <c:auto val="1"/>
        <c:lblAlgn val="ctr"/>
        <c:lblOffset val="100"/>
        <c:noMultiLvlLbl val="1"/>
      </c:catAx>
      <c:valAx>
        <c:axId val="1536630384"/>
        <c:scaling>
          <c:orientation val="minMax"/>
          <c:max val="5000"/>
          <c:min val="3000"/>
        </c:scaling>
        <c:delete val="0"/>
        <c:axPos val="l"/>
        <c:majorGridlines>
          <c:spPr>
            <a:ln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#,##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829186991"/>
        <c:crosses val="autoZero"/>
        <c:crossBetween val="between"/>
        <c:majorUnit val="500"/>
      </c:valAx>
      <c:spPr>
        <a:noFill/>
      </c:spPr>
    </c:plotArea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33144458391976367"/>
          <c:y val="8.1881731996615179E-2"/>
          <c:w val="0.57495302217657573"/>
          <c:h val="0.77216987220859701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'Graf. Barras'!$D$8</c:f>
              <c:strCache>
                <c:ptCount val="1"/>
                <c:pt idx="0">
                  <c:v>Serie 1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763A-4020-B1C0-8580B4B74580}"/>
              </c:ext>
            </c:extLst>
          </c:dPt>
          <c:dPt>
            <c:idx val="3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763A-4020-B1C0-8580B4B7458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200"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Barras'!$C$9:$C$11</c:f>
              <c:strCache>
                <c:ptCount val="3"/>
                <c:pt idx="0">
                  <c:v>Categoria 1</c:v>
                </c:pt>
                <c:pt idx="1">
                  <c:v>Categoria 2</c:v>
                </c:pt>
                <c:pt idx="2">
                  <c:v>Categoría 3</c:v>
                </c:pt>
              </c:strCache>
            </c:strRef>
          </c:cat>
          <c:val>
            <c:numRef>
              <c:f>'Graf. Barras'!$D$9:$D$11</c:f>
              <c:numCache>
                <c:formatCode>0%</c:formatCode>
                <c:ptCount val="3"/>
                <c:pt idx="0">
                  <c:v>7.0000000000000007E-2</c:v>
                </c:pt>
                <c:pt idx="1">
                  <c:v>0.03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3A-4020-B1C0-8580B4B74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9921432"/>
        <c:axId val="895102837"/>
      </c:barChart>
      <c:catAx>
        <c:axId val="36992143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050" b="1">
                <a:solidFill>
                  <a:schemeClr val="dk1"/>
                </a:solidFill>
                <a:latin typeface="+mn-lt"/>
              </a:defRPr>
            </a:pPr>
            <a:endParaRPr lang="es-ES"/>
          </a:p>
        </c:txPr>
        <c:crossAx val="895102837"/>
        <c:crosses val="autoZero"/>
        <c:auto val="1"/>
        <c:lblAlgn val="ctr"/>
        <c:lblOffset val="100"/>
        <c:noMultiLvlLbl val="1"/>
      </c:catAx>
      <c:valAx>
        <c:axId val="895102837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1391"/>
                </a:solidFill>
                <a:latin typeface="+mn-lt"/>
              </a:defRPr>
            </a:pPr>
            <a:endParaRPr lang="es-ES"/>
          </a:p>
        </c:txPr>
        <c:crossAx val="369921432"/>
        <c:crosses val="max"/>
        <c:crossBetween val="between"/>
      </c:valAx>
      <c:spPr>
        <a:noFill/>
        <a:ln>
          <a:noFill/>
        </a:ln>
      </c:spPr>
    </c:plotArea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20950358705161853"/>
          <c:y val="4.5977011494252873E-2"/>
          <c:w val="0.74228538932633426"/>
          <c:h val="0.77984021589777763"/>
        </c:manualLayout>
      </c:layout>
      <c:barChart>
        <c:barDir val="bar"/>
        <c:grouping val="stacked"/>
        <c:varyColors val="1"/>
        <c:ser>
          <c:idx val="0"/>
          <c:order val="0"/>
          <c:tx>
            <c:strRef>
              <c:f>'Graf. Barras'!$N$8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rgbClr val="001391"/>
            </a:solid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Barras'!$M$9:$M$16</c:f>
              <c:strCache>
                <c:ptCount val="8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</c:strCache>
            </c:strRef>
          </c:cat>
          <c:val>
            <c:numRef>
              <c:f>'Graf. Barras'!$N$9:$N$16</c:f>
              <c:numCache>
                <c:formatCode>0%</c:formatCode>
                <c:ptCount val="8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3BF-499B-A6FA-1677D860140D}"/>
            </c:ext>
          </c:extLst>
        </c:ser>
        <c:ser>
          <c:idx val="1"/>
          <c:order val="1"/>
          <c:tx>
            <c:strRef>
              <c:f>'Graf. Barras'!$O$8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85C8FF"/>
            </a:solid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00139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Barras'!$M$9:$M$16</c:f>
              <c:strCache>
                <c:ptCount val="8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</c:strCache>
            </c:strRef>
          </c:cat>
          <c:val>
            <c:numRef>
              <c:f>'Graf. Barras'!$O$9:$O$16</c:f>
              <c:numCache>
                <c:formatCode>0%</c:formatCode>
                <c:ptCount val="8"/>
                <c:pt idx="0">
                  <c:v>0.06</c:v>
                </c:pt>
                <c:pt idx="1">
                  <c:v>0.04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23BF-499B-A6FA-1677D860140D}"/>
            </c:ext>
          </c:extLst>
        </c:ser>
        <c:ser>
          <c:idx val="2"/>
          <c:order val="2"/>
          <c:tx>
            <c:strRef>
              <c:f>'Graf. Barras'!$P$8</c:f>
              <c:strCache>
                <c:ptCount val="1"/>
                <c:pt idx="0">
                  <c:v>2030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00139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Barras'!$M$9:$M$16</c:f>
              <c:strCache>
                <c:ptCount val="8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</c:strCache>
            </c:strRef>
          </c:cat>
          <c:val>
            <c:numRef>
              <c:f>'Graf. Barras'!$P$9:$P$16</c:f>
              <c:numCache>
                <c:formatCode>0%</c:formatCode>
                <c:ptCount val="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0.05</c:v>
                </c:pt>
                <c:pt idx="4">
                  <c:v>0.06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3BF-499B-A6FA-1677D86014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365837550"/>
        <c:axId val="165846298"/>
      </c:barChart>
      <c:catAx>
        <c:axId val="36583755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r>
                  <a:rPr lang="es-ES" b="0">
                    <a:solidFill>
                      <a:srgbClr val="001391"/>
                    </a:solidFill>
                    <a:latin typeface="+mn-lt"/>
                  </a:rPr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050" b="1">
                <a:solidFill>
                  <a:schemeClr val="dk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65846298"/>
        <c:crosses val="autoZero"/>
        <c:auto val="1"/>
        <c:lblAlgn val="ctr"/>
        <c:lblOffset val="100"/>
        <c:noMultiLvlLbl val="1"/>
      </c:catAx>
      <c:valAx>
        <c:axId val="165846298"/>
        <c:scaling>
          <c:orientation val="minMax"/>
        </c:scaling>
        <c:delete val="0"/>
        <c:axPos val="b"/>
        <c:majorGridlines>
          <c:spPr>
            <a:ln w="6350">
              <a:solidFill>
                <a:srgbClr val="E2E6EA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 i="0" baseline="0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365837550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0.19683937007874017"/>
          <c:y val="0.93521816042587158"/>
          <c:w val="0.22457865266841645"/>
          <c:h val="6.4781839574128475E-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20684094054806618"/>
          <c:y val="0.05"/>
          <c:w val="0.63913767744976147"/>
          <c:h val="0.86056095929185328"/>
        </c:manualLayout>
      </c:layout>
      <c:barChart>
        <c:barDir val="bar"/>
        <c:grouping val="stacked"/>
        <c:varyColors val="1"/>
        <c:ser>
          <c:idx val="0"/>
          <c:order val="0"/>
          <c:tx>
            <c:strRef>
              <c:f>'Graf. Barras'!$N$54</c:f>
              <c:strCache>
                <c:ptCount val="1"/>
                <c:pt idx="0">
                  <c:v>Serie 1</c:v>
                </c:pt>
              </c:strCache>
            </c:strRef>
          </c:tx>
          <c:spPr>
            <a:solidFill>
              <a:srgbClr val="001391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Barras'!$N$55:$N$69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0.06</c:v>
                </c:pt>
                <c:pt idx="13">
                  <c:v>0.03</c:v>
                </c:pt>
                <c:pt idx="14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A0D-44D7-9237-F615C28B00F3}"/>
            </c:ext>
          </c:extLst>
        </c:ser>
        <c:ser>
          <c:idx val="1"/>
          <c:order val="1"/>
          <c:tx>
            <c:strRef>
              <c:f>'Graf. Barras'!$O$54</c:f>
              <c:strCache>
                <c:ptCount val="1"/>
                <c:pt idx="0">
                  <c:v>Serie 2</c:v>
                </c:pt>
              </c:strCache>
            </c:strRef>
          </c:tx>
          <c:spPr>
            <a:solidFill>
              <a:srgbClr val="85C8FF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Barras'!$O$55:$O$69</c:f>
              <c:numCache>
                <c:formatCode>0%</c:formatCode>
                <c:ptCount val="1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0.05</c:v>
                </c:pt>
                <c:pt idx="4">
                  <c:v>0.06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0.08</c:v>
                </c:pt>
                <c:pt idx="10">
                  <c:v>0.08</c:v>
                </c:pt>
                <c:pt idx="11">
                  <c:v>0.09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A0D-44D7-9237-F615C28B00F3}"/>
            </c:ext>
          </c:extLst>
        </c:ser>
        <c:ser>
          <c:idx val="2"/>
          <c:order val="2"/>
          <c:tx>
            <c:strRef>
              <c:f>'Graf. Barras'!$P$54</c:f>
              <c:strCache>
                <c:ptCount val="1"/>
                <c:pt idx="0">
                  <c:v>Serie 3</c:v>
                </c:pt>
              </c:strCache>
            </c:strRef>
          </c:tx>
          <c:spPr>
            <a:solidFill>
              <a:srgbClr val="88E783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Barras'!$P$55:$P$69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0.1</c:v>
                </c:pt>
                <c:pt idx="9">
                  <c:v>0.09</c:v>
                </c:pt>
                <c:pt idx="10">
                  <c:v>0.09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9A0D-44D7-9237-F615C28B00F3}"/>
            </c:ext>
          </c:extLst>
        </c:ser>
        <c:ser>
          <c:idx val="3"/>
          <c:order val="3"/>
          <c:tx>
            <c:strRef>
              <c:f>'Graf. Barras'!$Q$54</c:f>
              <c:strCache>
                <c:ptCount val="1"/>
                <c:pt idx="0">
                  <c:v>Serie 4</c:v>
                </c:pt>
              </c:strCache>
            </c:strRef>
          </c:tx>
          <c:spPr>
            <a:solidFill>
              <a:srgbClr val="FFB56B"/>
            </a:solidFill>
            <a:ln cmpd="sng">
              <a:noFill/>
            </a:ln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9A0D-44D7-9237-F615C28B00F3}"/>
              </c:ext>
            </c:extLst>
          </c:dPt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Barras'!$Q$55:$Q$69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0.06</c:v>
                </c:pt>
                <c:pt idx="13">
                  <c:v>0.03</c:v>
                </c:pt>
                <c:pt idx="14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9A0D-44D7-9237-F615C28B00F3}"/>
            </c:ext>
          </c:extLst>
        </c:ser>
        <c:ser>
          <c:idx val="4"/>
          <c:order val="4"/>
          <c:tx>
            <c:strRef>
              <c:f>'Graf. Barras'!$R$54</c:f>
              <c:strCache>
                <c:ptCount val="1"/>
                <c:pt idx="0">
                  <c:v>Serie 5</c:v>
                </c:pt>
              </c:strCache>
            </c:strRef>
          </c:tx>
          <c:spPr>
            <a:solidFill>
              <a:srgbClr val="FFE761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Barras'!$R$55:$R$69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0.06</c:v>
                </c:pt>
                <c:pt idx="13">
                  <c:v>0.03</c:v>
                </c:pt>
                <c:pt idx="14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9A0D-44D7-9237-F615C28B00F3}"/>
            </c:ext>
          </c:extLst>
        </c:ser>
        <c:ser>
          <c:idx val="5"/>
          <c:order val="5"/>
          <c:tx>
            <c:strRef>
              <c:f>'Graf. Barras'!$S$54</c:f>
              <c:strCache>
                <c:ptCount val="1"/>
                <c:pt idx="0">
                  <c:v>Serie 6</c:v>
                </c:pt>
              </c:strCache>
            </c:strRef>
          </c:tx>
          <c:spPr>
            <a:solidFill>
              <a:srgbClr val="8BE1E9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Barras'!$S$55:$S$69</c:f>
              <c:numCache>
                <c:formatCode>0%</c:formatCode>
                <c:ptCount val="1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0.05</c:v>
                </c:pt>
                <c:pt idx="4">
                  <c:v>0.06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0.08</c:v>
                </c:pt>
                <c:pt idx="10">
                  <c:v>0.08</c:v>
                </c:pt>
                <c:pt idx="11">
                  <c:v>0.09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9A0D-44D7-9237-F615C28B00F3}"/>
            </c:ext>
          </c:extLst>
        </c:ser>
        <c:ser>
          <c:idx val="6"/>
          <c:order val="6"/>
          <c:tx>
            <c:strRef>
              <c:f>'Graf. Barras'!$T$54</c:f>
              <c:strCache>
                <c:ptCount val="1"/>
                <c:pt idx="0">
                  <c:v>Serie 7</c:v>
                </c:pt>
              </c:strCache>
            </c:strRef>
          </c:tx>
          <c:spPr>
            <a:solidFill>
              <a:srgbClr val="9694FF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Barras'!$T$55:$T$69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0.1</c:v>
                </c:pt>
                <c:pt idx="9">
                  <c:v>0.09</c:v>
                </c:pt>
                <c:pt idx="10">
                  <c:v>0.09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9A0D-44D7-9237-F615C28B00F3}"/>
            </c:ext>
          </c:extLst>
        </c:ser>
        <c:ser>
          <c:idx val="7"/>
          <c:order val="7"/>
          <c:tx>
            <c:strRef>
              <c:f>'Graf. Barras'!$U$54</c:f>
              <c:strCache>
                <c:ptCount val="1"/>
                <c:pt idx="0">
                  <c:v>Serie 8</c:v>
                </c:pt>
              </c:strCache>
            </c:strRef>
          </c:tx>
          <c:spPr>
            <a:solidFill>
              <a:srgbClr val="ADB8C2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Barras'!$U$55:$U$69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0.06</c:v>
                </c:pt>
                <c:pt idx="13">
                  <c:v>0.03</c:v>
                </c:pt>
                <c:pt idx="14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9A0D-44D7-9237-F615C28B00F3}"/>
            </c:ext>
          </c:extLst>
        </c:ser>
        <c:ser>
          <c:idx val="8"/>
          <c:order val="8"/>
          <c:tx>
            <c:strRef>
              <c:f>'Graf. Barras'!$V$54</c:f>
              <c:strCache>
                <c:ptCount val="1"/>
                <c:pt idx="0">
                  <c:v>Serie 9</c:v>
                </c:pt>
              </c:strCache>
            </c:strRef>
          </c:tx>
          <c:spPr>
            <a:solidFill>
              <a:srgbClr val="FF8585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Barras'!$V$55:$V$69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0.06</c:v>
                </c:pt>
                <c:pt idx="13">
                  <c:v>0.03</c:v>
                </c:pt>
                <c:pt idx="14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9A0D-44D7-9237-F615C28B00F3}"/>
            </c:ext>
          </c:extLst>
        </c:ser>
        <c:ser>
          <c:idx val="9"/>
          <c:order val="9"/>
          <c:tx>
            <c:strRef>
              <c:f>'Graf. Barras'!$W$54</c:f>
              <c:strCache>
                <c:ptCount val="1"/>
                <c:pt idx="0">
                  <c:v>Serie 10</c:v>
                </c:pt>
              </c:strCache>
            </c:strRef>
          </c:tx>
          <c:spPr>
            <a:solidFill>
              <a:srgbClr val="108C97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Barras'!$W$55:$W$69</c:f>
              <c:numCache>
                <c:formatCode>0%</c:formatCode>
                <c:ptCount val="1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0.05</c:v>
                </c:pt>
                <c:pt idx="4">
                  <c:v>0.06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0.08</c:v>
                </c:pt>
                <c:pt idx="10">
                  <c:v>0.08</c:v>
                </c:pt>
                <c:pt idx="11">
                  <c:v>0.09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9A0D-44D7-9237-F615C28B0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8252926"/>
        <c:axId val="1814250375"/>
      </c:barChart>
      <c:catAx>
        <c:axId val="2825292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814250375"/>
        <c:crosses val="autoZero"/>
        <c:auto val="1"/>
        <c:lblAlgn val="ctr"/>
        <c:lblOffset val="100"/>
        <c:noMultiLvlLbl val="1"/>
      </c:catAx>
      <c:valAx>
        <c:axId val="1814250375"/>
        <c:scaling>
          <c:orientation val="minMax"/>
        </c:scaling>
        <c:delete val="0"/>
        <c:axPos val="b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28252926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0.89663527353198491"/>
          <c:y val="3.8137254901960786E-2"/>
          <c:w val="6.0702675323479303E-2"/>
          <c:h val="0.50650506921928873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20684094054806618"/>
          <c:y val="0.05"/>
          <c:w val="0.63734878341445711"/>
          <c:h val="0.86119834285420205"/>
        </c:manualLayout>
      </c:layout>
      <c:barChart>
        <c:barDir val="bar"/>
        <c:grouping val="percentStacked"/>
        <c:varyColors val="1"/>
        <c:ser>
          <c:idx val="0"/>
          <c:order val="0"/>
          <c:tx>
            <c:strRef>
              <c:f>'Graf. Barras'!$N$54</c:f>
              <c:strCache>
                <c:ptCount val="1"/>
                <c:pt idx="0">
                  <c:v>Serie 1</c:v>
                </c:pt>
              </c:strCache>
            </c:strRef>
          </c:tx>
          <c:spPr>
            <a:solidFill>
              <a:srgbClr val="001391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Barras'!$N$55:$N$69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0.06</c:v>
                </c:pt>
                <c:pt idx="13">
                  <c:v>0.03</c:v>
                </c:pt>
                <c:pt idx="14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8911-41B4-9009-B4E8EB26B4BE}"/>
            </c:ext>
          </c:extLst>
        </c:ser>
        <c:ser>
          <c:idx val="1"/>
          <c:order val="1"/>
          <c:tx>
            <c:strRef>
              <c:f>'Graf. Barras'!$O$54</c:f>
              <c:strCache>
                <c:ptCount val="1"/>
                <c:pt idx="0">
                  <c:v>Serie 2</c:v>
                </c:pt>
              </c:strCache>
            </c:strRef>
          </c:tx>
          <c:spPr>
            <a:solidFill>
              <a:srgbClr val="85C8FF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Barras'!$O$55:$O$69</c:f>
              <c:numCache>
                <c:formatCode>0%</c:formatCode>
                <c:ptCount val="1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0.05</c:v>
                </c:pt>
                <c:pt idx="4">
                  <c:v>0.06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0.08</c:v>
                </c:pt>
                <c:pt idx="10">
                  <c:v>0.08</c:v>
                </c:pt>
                <c:pt idx="11">
                  <c:v>0.09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8911-41B4-9009-B4E8EB26B4BE}"/>
            </c:ext>
          </c:extLst>
        </c:ser>
        <c:ser>
          <c:idx val="2"/>
          <c:order val="2"/>
          <c:tx>
            <c:strRef>
              <c:f>'Graf. Barras'!$P$54</c:f>
              <c:strCache>
                <c:ptCount val="1"/>
                <c:pt idx="0">
                  <c:v>Serie 3</c:v>
                </c:pt>
              </c:strCache>
            </c:strRef>
          </c:tx>
          <c:spPr>
            <a:solidFill>
              <a:srgbClr val="88E783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Barras'!$P$55:$P$69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0.1</c:v>
                </c:pt>
                <c:pt idx="9">
                  <c:v>0.09</c:v>
                </c:pt>
                <c:pt idx="10">
                  <c:v>0.09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8911-41B4-9009-B4E8EB26B4BE}"/>
            </c:ext>
          </c:extLst>
        </c:ser>
        <c:ser>
          <c:idx val="3"/>
          <c:order val="3"/>
          <c:tx>
            <c:strRef>
              <c:f>'Graf. Barras'!$Q$54</c:f>
              <c:strCache>
                <c:ptCount val="1"/>
                <c:pt idx="0">
                  <c:v>Serie 4</c:v>
                </c:pt>
              </c:strCache>
            </c:strRef>
          </c:tx>
          <c:spPr>
            <a:solidFill>
              <a:srgbClr val="FFB56B"/>
            </a:solidFill>
            <a:ln cmpd="sng">
              <a:noFill/>
            </a:ln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8911-41B4-9009-B4E8EB26B4BE}"/>
              </c:ext>
            </c:extLst>
          </c:dPt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Barras'!$Q$55:$Q$69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0.06</c:v>
                </c:pt>
                <c:pt idx="13">
                  <c:v>0.03</c:v>
                </c:pt>
                <c:pt idx="14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8911-41B4-9009-B4E8EB26B4BE}"/>
            </c:ext>
          </c:extLst>
        </c:ser>
        <c:ser>
          <c:idx val="4"/>
          <c:order val="4"/>
          <c:tx>
            <c:strRef>
              <c:f>'Graf. Barras'!$R$54</c:f>
              <c:strCache>
                <c:ptCount val="1"/>
                <c:pt idx="0">
                  <c:v>Serie 5</c:v>
                </c:pt>
              </c:strCache>
            </c:strRef>
          </c:tx>
          <c:spPr>
            <a:solidFill>
              <a:srgbClr val="FFE761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Barras'!$R$55:$R$69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0.06</c:v>
                </c:pt>
                <c:pt idx="13">
                  <c:v>0.03</c:v>
                </c:pt>
                <c:pt idx="14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5-8911-41B4-9009-B4E8EB26B4BE}"/>
            </c:ext>
          </c:extLst>
        </c:ser>
        <c:ser>
          <c:idx val="5"/>
          <c:order val="5"/>
          <c:tx>
            <c:strRef>
              <c:f>'Graf. Barras'!$S$54</c:f>
              <c:strCache>
                <c:ptCount val="1"/>
                <c:pt idx="0">
                  <c:v>Serie 6</c:v>
                </c:pt>
              </c:strCache>
            </c:strRef>
          </c:tx>
          <c:spPr>
            <a:solidFill>
              <a:srgbClr val="8BE1E9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Barras'!$S$55:$S$69</c:f>
              <c:numCache>
                <c:formatCode>0%</c:formatCode>
                <c:ptCount val="1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0.05</c:v>
                </c:pt>
                <c:pt idx="4">
                  <c:v>0.06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0.08</c:v>
                </c:pt>
                <c:pt idx="10">
                  <c:v>0.08</c:v>
                </c:pt>
                <c:pt idx="11">
                  <c:v>0.09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6-8911-41B4-9009-B4E8EB26B4BE}"/>
            </c:ext>
          </c:extLst>
        </c:ser>
        <c:ser>
          <c:idx val="6"/>
          <c:order val="6"/>
          <c:tx>
            <c:strRef>
              <c:f>'Graf. Barras'!$T$54</c:f>
              <c:strCache>
                <c:ptCount val="1"/>
                <c:pt idx="0">
                  <c:v>Serie 7</c:v>
                </c:pt>
              </c:strCache>
            </c:strRef>
          </c:tx>
          <c:spPr>
            <a:solidFill>
              <a:srgbClr val="9694FF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Barras'!$T$55:$T$69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0.1</c:v>
                </c:pt>
                <c:pt idx="9">
                  <c:v>0.09</c:v>
                </c:pt>
                <c:pt idx="10">
                  <c:v>0.09</c:v>
                </c:pt>
                <c:pt idx="11">
                  <c:v>7.0000000000000007E-2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8911-41B4-9009-B4E8EB26B4BE}"/>
            </c:ext>
          </c:extLst>
        </c:ser>
        <c:ser>
          <c:idx val="7"/>
          <c:order val="7"/>
          <c:tx>
            <c:strRef>
              <c:f>'Graf. Barras'!$U$54</c:f>
              <c:strCache>
                <c:ptCount val="1"/>
                <c:pt idx="0">
                  <c:v>Serie 8</c:v>
                </c:pt>
              </c:strCache>
            </c:strRef>
          </c:tx>
          <c:spPr>
            <a:solidFill>
              <a:srgbClr val="ADB8C2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Barras'!$U$55:$U$69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0.06</c:v>
                </c:pt>
                <c:pt idx="13">
                  <c:v>0.03</c:v>
                </c:pt>
                <c:pt idx="14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8911-41B4-9009-B4E8EB26B4BE}"/>
            </c:ext>
          </c:extLst>
        </c:ser>
        <c:ser>
          <c:idx val="8"/>
          <c:order val="8"/>
          <c:tx>
            <c:strRef>
              <c:f>'Graf. Barras'!$V$54</c:f>
              <c:strCache>
                <c:ptCount val="1"/>
                <c:pt idx="0">
                  <c:v>Serie 9</c:v>
                </c:pt>
              </c:strCache>
            </c:strRef>
          </c:tx>
          <c:spPr>
            <a:solidFill>
              <a:srgbClr val="FF8585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Barras'!$V$55:$V$69</c:f>
              <c:numCache>
                <c:formatCode>0%</c:formatCode>
                <c:ptCount val="15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0.06</c:v>
                </c:pt>
                <c:pt idx="9">
                  <c:v>0.06</c:v>
                </c:pt>
                <c:pt idx="10">
                  <c:v>7.0000000000000007E-2</c:v>
                </c:pt>
                <c:pt idx="11">
                  <c:v>7.0000000000000007E-2</c:v>
                </c:pt>
                <c:pt idx="12">
                  <c:v>0.06</c:v>
                </c:pt>
                <c:pt idx="13">
                  <c:v>0.03</c:v>
                </c:pt>
                <c:pt idx="14">
                  <c:v>0.03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9-8911-41B4-9009-B4E8EB26B4BE}"/>
            </c:ext>
          </c:extLst>
        </c:ser>
        <c:ser>
          <c:idx val="9"/>
          <c:order val="9"/>
          <c:tx>
            <c:strRef>
              <c:f>'Graf. Barras'!$W$54</c:f>
              <c:strCache>
                <c:ptCount val="1"/>
                <c:pt idx="0">
                  <c:v>Serie 10</c:v>
                </c:pt>
              </c:strCache>
            </c:strRef>
          </c:tx>
          <c:spPr>
            <a:solidFill>
              <a:srgbClr val="108C97"/>
            </a:solidFill>
            <a:ln cmpd="sng">
              <a:noFill/>
            </a:ln>
          </c:spPr>
          <c:invertIfNegative val="1"/>
          <c:cat>
            <c:strRef>
              <c:f>'Graf. Barras'!$M$55:$M$69</c:f>
              <c:strCache>
                <c:ptCount val="15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  <c:pt idx="8">
                  <c:v>Categoria 9</c:v>
                </c:pt>
                <c:pt idx="9">
                  <c:v>Categoria 10</c:v>
                </c:pt>
                <c:pt idx="10">
                  <c:v>Categoria 11</c:v>
                </c:pt>
                <c:pt idx="11">
                  <c:v>Categoria 12</c:v>
                </c:pt>
                <c:pt idx="12">
                  <c:v>Categoria 13</c:v>
                </c:pt>
                <c:pt idx="13">
                  <c:v>Categoria 14</c:v>
                </c:pt>
                <c:pt idx="14">
                  <c:v>Categoria 15</c:v>
                </c:pt>
              </c:strCache>
            </c:strRef>
          </c:cat>
          <c:val>
            <c:numRef>
              <c:f>'Graf. Barras'!$W$55:$W$69</c:f>
              <c:numCache>
                <c:formatCode>0%</c:formatCode>
                <c:ptCount val="15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0.05</c:v>
                </c:pt>
                <c:pt idx="4">
                  <c:v>0.06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0.08</c:v>
                </c:pt>
                <c:pt idx="10">
                  <c:v>0.08</c:v>
                </c:pt>
                <c:pt idx="11">
                  <c:v>0.09</c:v>
                </c:pt>
                <c:pt idx="12">
                  <c:v>7.0000000000000007E-2</c:v>
                </c:pt>
                <c:pt idx="13">
                  <c:v>0.08</c:v>
                </c:pt>
                <c:pt idx="14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8911-41B4-9009-B4E8EB26B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398987966"/>
        <c:axId val="304684047"/>
      </c:barChart>
      <c:catAx>
        <c:axId val="1398987966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304684047"/>
        <c:crosses val="autoZero"/>
        <c:auto val="1"/>
        <c:lblAlgn val="ctr"/>
        <c:lblOffset val="100"/>
        <c:noMultiLvlLbl val="1"/>
      </c:catAx>
      <c:valAx>
        <c:axId val="304684047"/>
        <c:scaling>
          <c:orientation val="minMax"/>
        </c:scaling>
        <c:delete val="0"/>
        <c:axPos val="b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398987966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0.90007524601220512"/>
          <c:y val="4.957516339869282E-2"/>
          <c:w val="6.0702675323479303E-2"/>
          <c:h val="0.46402140908856987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20950358705161853"/>
          <c:y val="4.5977011494252873E-2"/>
          <c:w val="0.74385196850393698"/>
          <c:h val="0.78350093385662212"/>
        </c:manualLayout>
      </c:layout>
      <c:barChart>
        <c:barDir val="bar"/>
        <c:grouping val="percentStacked"/>
        <c:varyColors val="1"/>
        <c:ser>
          <c:idx val="0"/>
          <c:order val="0"/>
          <c:tx>
            <c:strRef>
              <c:f>'Graf. Barras'!$N$8</c:f>
              <c:strCache>
                <c:ptCount val="1"/>
                <c:pt idx="0">
                  <c:v>2010</c:v>
                </c:pt>
              </c:strCache>
            </c:strRef>
          </c:tx>
          <c:spPr>
            <a:solidFill>
              <a:srgbClr val="001391"/>
            </a:solid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Barras'!$M$9:$M$16</c:f>
              <c:strCache>
                <c:ptCount val="8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</c:strCache>
            </c:strRef>
          </c:cat>
          <c:val>
            <c:numRef>
              <c:f>'Graf. Barras'!$N$9:$N$16</c:f>
              <c:numCache>
                <c:formatCode>0%</c:formatCode>
                <c:ptCount val="8"/>
                <c:pt idx="0">
                  <c:v>0.1</c:v>
                </c:pt>
                <c:pt idx="1">
                  <c:v>0.09</c:v>
                </c:pt>
                <c:pt idx="2">
                  <c:v>0.09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0.08</c:v>
                </c:pt>
                <c:pt idx="6">
                  <c:v>7.0000000000000007E-2</c:v>
                </c:pt>
                <c:pt idx="7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24B4-4EA3-AE2A-AE2D6107C3CA}"/>
            </c:ext>
          </c:extLst>
        </c:ser>
        <c:ser>
          <c:idx val="1"/>
          <c:order val="1"/>
          <c:tx>
            <c:strRef>
              <c:f>'Graf. Barras'!$O$8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85C8FF"/>
            </a:solid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chemeClr val="tx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Barras'!$M$9:$M$16</c:f>
              <c:strCache>
                <c:ptCount val="8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</c:strCache>
            </c:strRef>
          </c:cat>
          <c:val>
            <c:numRef>
              <c:f>'Graf. Barras'!$O$9:$O$16</c:f>
              <c:numCache>
                <c:formatCode>0%</c:formatCode>
                <c:ptCount val="8"/>
                <c:pt idx="0">
                  <c:v>0.06</c:v>
                </c:pt>
                <c:pt idx="1">
                  <c:v>0.04</c:v>
                </c:pt>
                <c:pt idx="2">
                  <c:v>0.06</c:v>
                </c:pt>
                <c:pt idx="3">
                  <c:v>7.0000000000000007E-2</c:v>
                </c:pt>
                <c:pt idx="4">
                  <c:v>0.06</c:v>
                </c:pt>
                <c:pt idx="5">
                  <c:v>0.04</c:v>
                </c:pt>
                <c:pt idx="6">
                  <c:v>0.06</c:v>
                </c:pt>
                <c:pt idx="7">
                  <c:v>7.0000000000000007E-2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24B4-4EA3-AE2A-AE2D6107C3CA}"/>
            </c:ext>
          </c:extLst>
        </c:ser>
        <c:ser>
          <c:idx val="2"/>
          <c:order val="2"/>
          <c:tx>
            <c:strRef>
              <c:f>'Graf. Barras'!$P$8</c:f>
              <c:strCache>
                <c:ptCount val="1"/>
                <c:pt idx="0">
                  <c:v>2030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/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Barras'!$M$9:$M$16</c:f>
              <c:strCache>
                <c:ptCount val="8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  <c:pt idx="4">
                  <c:v>Categoria 5</c:v>
                </c:pt>
                <c:pt idx="5">
                  <c:v>Categoria 6</c:v>
                </c:pt>
                <c:pt idx="6">
                  <c:v>Categoria 7</c:v>
                </c:pt>
                <c:pt idx="7">
                  <c:v>Categoria 8</c:v>
                </c:pt>
              </c:strCache>
            </c:strRef>
          </c:cat>
          <c:val>
            <c:numRef>
              <c:f>'Graf. Barras'!$P$9:$P$16</c:f>
              <c:numCache>
                <c:formatCode>0%</c:formatCode>
                <c:ptCount val="8"/>
                <c:pt idx="0">
                  <c:v>0.03</c:v>
                </c:pt>
                <c:pt idx="1">
                  <c:v>0.04</c:v>
                </c:pt>
                <c:pt idx="2">
                  <c:v>0.05</c:v>
                </c:pt>
                <c:pt idx="3">
                  <c:v>0.05</c:v>
                </c:pt>
                <c:pt idx="4">
                  <c:v>0.06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B4-4EA3-AE2A-AE2D6107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865333870"/>
        <c:axId val="641906634"/>
      </c:barChart>
      <c:catAx>
        <c:axId val="86533387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r>
                  <a:rPr lang="es-ES" b="0">
                    <a:solidFill>
                      <a:srgbClr val="001391"/>
                    </a:solidFill>
                    <a:latin typeface="+mn-lt"/>
                  </a:rPr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050" b="1">
                <a:solidFill>
                  <a:schemeClr val="dk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641906634"/>
        <c:crosses val="autoZero"/>
        <c:auto val="1"/>
        <c:lblAlgn val="ctr"/>
        <c:lblOffset val="100"/>
        <c:noMultiLvlLbl val="1"/>
      </c:catAx>
      <c:valAx>
        <c:axId val="641906634"/>
        <c:scaling>
          <c:orientation val="minMax"/>
        </c:scaling>
        <c:delete val="0"/>
        <c:axPos val="b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865333870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0.18928385416666657"/>
          <c:y val="0.94373040752351101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22493613298337709"/>
          <c:y val="4.9999999999999996E-2"/>
          <c:w val="0.61239720034995626"/>
          <c:h val="0.79837950811704095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'Graf. Barras'!$D$54</c:f>
              <c:strCache>
                <c:ptCount val="1"/>
                <c:pt idx="0">
                  <c:v>Serie 1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'Graf. Barras'!$C$55:$C$58</c:f>
              <c:strCache>
                <c:ptCount val="4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</c:strCache>
            </c:strRef>
          </c:cat>
          <c:val>
            <c:numRef>
              <c:f>'Graf. Barras'!$D$55:$D$58</c:f>
              <c:numCache>
                <c:formatCode>0%</c:formatCode>
                <c:ptCount val="4"/>
                <c:pt idx="0">
                  <c:v>7.0000000000000007E-2</c:v>
                </c:pt>
                <c:pt idx="1">
                  <c:v>0.06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25-41D3-B7F1-32A5340197C5}"/>
            </c:ext>
          </c:extLst>
        </c:ser>
        <c:ser>
          <c:idx val="1"/>
          <c:order val="1"/>
          <c:tx>
            <c:strRef>
              <c:f>'Graf. Barras'!$E$54</c:f>
              <c:strCache>
                <c:ptCount val="1"/>
                <c:pt idx="0">
                  <c:v>Serie 2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>
                    <a:solidFill>
                      <a:schemeClr val="tx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'Graf. Barras'!$C$55:$C$58</c:f>
              <c:strCache>
                <c:ptCount val="4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</c:strCache>
            </c:strRef>
          </c:cat>
          <c:val>
            <c:numRef>
              <c:f>'Graf. Barras'!$E$55:$E$58</c:f>
              <c:numCache>
                <c:formatCode>0%</c:formatCode>
                <c:ptCount val="4"/>
                <c:pt idx="0">
                  <c:v>0.06</c:v>
                </c:pt>
                <c:pt idx="1">
                  <c:v>0.04</c:v>
                </c:pt>
                <c:pt idx="2">
                  <c:v>0.06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25-41D3-B7F1-32A5340197C5}"/>
            </c:ext>
          </c:extLst>
        </c:ser>
        <c:ser>
          <c:idx val="2"/>
          <c:order val="2"/>
          <c:tx>
            <c:strRef>
              <c:f>'Graf. Barras'!$F$54</c:f>
              <c:strCache>
                <c:ptCount val="1"/>
                <c:pt idx="0">
                  <c:v>Serie 3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EC25-41D3-B7F1-32A5340197C5}"/>
              </c:ext>
            </c:extLst>
          </c:dPt>
          <c:dPt>
            <c:idx val="2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EC25-41D3-B7F1-32A5340197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'Graf. Barras'!$C$55:$C$58</c:f>
              <c:strCache>
                <c:ptCount val="4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</c:strCache>
            </c:strRef>
          </c:cat>
          <c:val>
            <c:numRef>
              <c:f>'Graf. Barras'!$F$55:$F$58</c:f>
              <c:numCache>
                <c:formatCode>0%</c:formatCode>
                <c:ptCount val="4"/>
                <c:pt idx="0">
                  <c:v>0.09</c:v>
                </c:pt>
                <c:pt idx="1">
                  <c:v>0.06</c:v>
                </c:pt>
                <c:pt idx="2">
                  <c:v>0.03</c:v>
                </c:pt>
                <c:pt idx="3">
                  <c:v>0.06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25-41D3-B7F1-32A534019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-10"/>
        <c:axId val="1569727101"/>
        <c:axId val="800060947"/>
      </c:barChart>
      <c:catAx>
        <c:axId val="1569727101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r>
                  <a:rPr lang="es-ES" b="0">
                    <a:solidFill>
                      <a:srgbClr val="001391"/>
                    </a:solidFill>
                    <a:latin typeface="+mn-lt"/>
                  </a:rPr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1">
                <a:solidFill>
                  <a:srgbClr val="001391"/>
                </a:solidFill>
                <a:latin typeface="+mn-lt"/>
              </a:defRPr>
            </a:pPr>
            <a:endParaRPr lang="es-ES"/>
          </a:p>
        </c:txPr>
        <c:crossAx val="800060947"/>
        <c:crosses val="autoZero"/>
        <c:auto val="1"/>
        <c:lblAlgn val="ctr"/>
        <c:lblOffset val="100"/>
        <c:noMultiLvlLbl val="1"/>
      </c:catAx>
      <c:valAx>
        <c:axId val="8000609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s-ES"/>
          </a:p>
        </c:txPr>
        <c:crossAx val="1569727101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0.19871093750000005"/>
          <c:y val="0.93192771084337356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32026906057032728"/>
          <c:y val="6.7944067967113872E-2"/>
          <c:w val="0.55677254111352026"/>
          <c:h val="0.74680603948896629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'Graf. Barras'!$C$29</c:f>
              <c:strCache>
                <c:ptCount val="1"/>
                <c:pt idx="0">
                  <c:v>Serie 1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Barras'!$B$30:$B$33</c:f>
              <c:strCache>
                <c:ptCount val="4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</c:strCache>
            </c:strRef>
          </c:cat>
          <c:val>
            <c:numRef>
              <c:f>'Graf. Barras'!$C$30:$C$33</c:f>
              <c:numCache>
                <c:formatCode>0%</c:formatCode>
                <c:ptCount val="4"/>
                <c:pt idx="0">
                  <c:v>7.0000000000000007E-2</c:v>
                </c:pt>
                <c:pt idx="1">
                  <c:v>0.06</c:v>
                </c:pt>
                <c:pt idx="2">
                  <c:v>0.03</c:v>
                </c:pt>
                <c:pt idx="3">
                  <c:v>0.03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D9-4DDA-9DCB-B9170AF662FC}"/>
            </c:ext>
          </c:extLst>
        </c:ser>
        <c:ser>
          <c:idx val="1"/>
          <c:order val="1"/>
          <c:tx>
            <c:strRef>
              <c:f>'Graf. Barras'!$D$29</c:f>
              <c:strCache>
                <c:ptCount val="1"/>
                <c:pt idx="0">
                  <c:v>Serie 2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 cmpd="sng"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'Graf. Barras'!$B$30:$B$33</c:f>
              <c:strCache>
                <c:ptCount val="4"/>
                <c:pt idx="0">
                  <c:v>Categoria 1</c:v>
                </c:pt>
                <c:pt idx="1">
                  <c:v>Categoria 2</c:v>
                </c:pt>
                <c:pt idx="2">
                  <c:v>Categoria 3</c:v>
                </c:pt>
                <c:pt idx="3">
                  <c:v>Categoria 4</c:v>
                </c:pt>
              </c:strCache>
            </c:strRef>
          </c:cat>
          <c:val>
            <c:numRef>
              <c:f>'Graf. Barras'!$D$30:$D$33</c:f>
              <c:numCache>
                <c:formatCode>0%</c:formatCode>
                <c:ptCount val="4"/>
                <c:pt idx="0">
                  <c:v>0.06</c:v>
                </c:pt>
                <c:pt idx="1">
                  <c:v>0.04</c:v>
                </c:pt>
                <c:pt idx="2">
                  <c:v>0.06</c:v>
                </c:pt>
                <c:pt idx="3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D9-4DDA-9DCB-B9170AF66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-10"/>
        <c:axId val="894172030"/>
        <c:axId val="394391430"/>
      </c:barChart>
      <c:catAx>
        <c:axId val="894172030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r>
                  <a:rPr lang="es-ES" b="0">
                    <a:solidFill>
                      <a:srgbClr val="001391"/>
                    </a:solidFill>
                    <a:latin typeface="+mn-lt"/>
                  </a:rPr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05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394391430"/>
        <c:crosses val="autoZero"/>
        <c:auto val="1"/>
        <c:lblAlgn val="ctr"/>
        <c:lblOffset val="100"/>
        <c:noMultiLvlLbl val="1"/>
      </c:catAx>
      <c:valAx>
        <c:axId val="39439143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0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s-ES"/>
          </a:p>
        </c:txPr>
        <c:crossAx val="894172030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0.28693141618167295"/>
          <c:y val="0.91214025076133776"/>
          <c:w val="0.259019361710221"/>
          <c:h val="7.2004901826296097E-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6.6654423788080799E-2"/>
          <c:y val="0.12302430945613177"/>
          <c:w val="0.84388870720233455"/>
          <c:h val="0.70442055662411074"/>
        </c:manualLayout>
      </c:layout>
      <c:areaChart>
        <c:grouping val="standard"/>
        <c:varyColors val="1"/>
        <c:ser>
          <c:idx val="0"/>
          <c:order val="0"/>
          <c:spPr>
            <a:solidFill>
              <a:srgbClr val="85C8FF">
                <a:alpha val="10000"/>
              </a:srgbClr>
            </a:solidFill>
            <a:ln w="19050" cmpd="sng">
              <a:noFill/>
              <a:prstDash val="dash"/>
            </a:ln>
          </c:spPr>
          <c:cat>
            <c:strRef>
              <c:f>'Otros gráficos'!$B$91:$B$96</c:f>
              <c:strCache>
                <c:ptCount val="6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  <c:pt idx="5">
                  <c:v>Serie 6</c:v>
                </c:pt>
              </c:strCache>
            </c:strRef>
          </c:cat>
          <c:val>
            <c:numRef>
              <c:f>'Otros gráficos'!$C$91:$C$96</c:f>
              <c:numCache>
                <c:formatCode>0%</c:formatCode>
                <c:ptCount val="6"/>
                <c:pt idx="0">
                  <c:v>0.33</c:v>
                </c:pt>
                <c:pt idx="1">
                  <c:v>0.39</c:v>
                </c:pt>
                <c:pt idx="2">
                  <c:v>0.66</c:v>
                </c:pt>
                <c:pt idx="3">
                  <c:v>0.67</c:v>
                </c:pt>
                <c:pt idx="4">
                  <c:v>0.68</c:v>
                </c:pt>
                <c:pt idx="5">
                  <c:v>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06-48B1-8E4E-7D31F1F4252D}"/>
            </c:ext>
          </c:extLst>
        </c:ser>
        <c:ser>
          <c:idx val="2"/>
          <c:order val="2"/>
          <c:spPr>
            <a:solidFill>
              <a:schemeClr val="dk1">
                <a:alpha val="10000"/>
              </a:schemeClr>
            </a:solidFill>
            <a:ln cmpd="sng">
              <a:noFill/>
              <a:prstDash val="dash"/>
            </a:ln>
          </c:spPr>
          <c:cat>
            <c:strRef>
              <c:f>'Otros gráficos'!$B$91:$B$96</c:f>
              <c:strCache>
                <c:ptCount val="6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  <c:pt idx="5">
                  <c:v>Serie 6</c:v>
                </c:pt>
              </c:strCache>
            </c:strRef>
          </c:cat>
          <c:val>
            <c:numRef>
              <c:f>'Otros gráficos'!$F$91:$F$96</c:f>
              <c:numCache>
                <c:formatCode>#,##0.00;\(#,##0.00\)</c:formatCode>
                <c:ptCount val="6"/>
                <c:pt idx="0">
                  <c:v>0</c:v>
                </c:pt>
                <c:pt idx="1">
                  <c:v>-0.13</c:v>
                </c:pt>
                <c:pt idx="2">
                  <c:v>-0.41</c:v>
                </c:pt>
                <c:pt idx="3">
                  <c:v>-0.48</c:v>
                </c:pt>
                <c:pt idx="4">
                  <c:v>-0.54</c:v>
                </c:pt>
                <c:pt idx="5">
                  <c:v>-0.68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06-48B1-8E4E-7D31F1F42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1231684"/>
        <c:axId val="1238487313"/>
      </c:areaChart>
      <c:lineChart>
        <c:grouping val="standard"/>
        <c:varyColors val="1"/>
        <c:ser>
          <c:idx val="1"/>
          <c:order val="1"/>
          <c:spPr>
            <a:ln w="25400" cmpd="sng">
              <a:solidFill>
                <a:srgbClr val="8BE1E9">
                  <a:alpha val="100000"/>
                </a:srgbClr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8BE1E9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46536D"/>
                    </a:solidFill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'Otros gráficos'!$B$91:$B$96</c:f>
              <c:strCache>
                <c:ptCount val="6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  <c:pt idx="5">
                  <c:v>Serie 6</c:v>
                </c:pt>
              </c:strCache>
            </c:strRef>
          </c:cat>
          <c:val>
            <c:numRef>
              <c:f>'Otros gráficos'!$E$91:$E$95</c:f>
              <c:numCache>
                <c:formatCode>0%</c:formatCode>
                <c:ptCount val="5"/>
                <c:pt idx="0">
                  <c:v>0.33</c:v>
                </c:pt>
                <c:pt idx="1">
                  <c:v>0.39</c:v>
                </c:pt>
                <c:pt idx="2">
                  <c:v>0.72</c:v>
                </c:pt>
                <c:pt idx="3">
                  <c:v>0.92</c:v>
                </c:pt>
                <c:pt idx="4">
                  <c:v>0.96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106-48B1-8E4E-7D31F1F4252D}"/>
            </c:ext>
          </c:extLst>
        </c:ser>
        <c:ser>
          <c:idx val="3"/>
          <c:order val="3"/>
          <c:spPr>
            <a:ln w="25400" cmpd="sng">
              <a:solidFill>
                <a:schemeClr val="accent4"/>
              </a:solidFill>
            </a:ln>
          </c:spPr>
          <c:marker>
            <c:symbol val="circle"/>
            <c:size val="9"/>
            <c:spPr>
              <a:solidFill>
                <a:schemeClr val="accent4"/>
              </a:solidFill>
              <a:ln>
                <a:noFill/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46536D"/>
                    </a:solidFill>
                    <a:latin typeface="+mn-lt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'Otros gráficos'!$B$91:$B$96</c:f>
              <c:strCache>
                <c:ptCount val="6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  <c:pt idx="5">
                  <c:v>Serie 6</c:v>
                </c:pt>
              </c:strCache>
            </c:strRef>
          </c:cat>
          <c:val>
            <c:numRef>
              <c:f>'Otros gráficos'!$H$91:$H$95</c:f>
              <c:numCache>
                <c:formatCode>#,##0.00;\(#,##0.00\)</c:formatCode>
                <c:ptCount val="5"/>
                <c:pt idx="0">
                  <c:v>0</c:v>
                </c:pt>
                <c:pt idx="1">
                  <c:v>-0.13</c:v>
                </c:pt>
                <c:pt idx="2">
                  <c:v>-0.67</c:v>
                </c:pt>
                <c:pt idx="3">
                  <c:v>-0.81</c:v>
                </c:pt>
                <c:pt idx="4">
                  <c:v>-0.84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106-48B1-8E4E-7D31F1F4252D}"/>
            </c:ext>
          </c:extLst>
        </c:ser>
        <c:ser>
          <c:idx val="4"/>
          <c:order val="4"/>
          <c:tx>
            <c:strRef>
              <c:f>'Otros gráficos'!$D$90</c:f>
              <c:strCache>
                <c:ptCount val="1"/>
              </c:strCache>
            </c:strRef>
          </c:tx>
          <c:spPr>
            <a:ln w="19050">
              <a:solidFill>
                <a:schemeClr val="accent1"/>
              </a:solidFill>
              <a:prstDash val="dash"/>
            </a:ln>
          </c:spPr>
          <c:marker>
            <c:symbol val="circle"/>
            <c:size val="9"/>
            <c:spPr>
              <a:solidFill>
                <a:schemeClr val="accent1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4.5282215122470694E-2"/>
                  <c:y val="0.11628525826829955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BEF-424A-89CF-812D9100965F}"/>
                </c:ext>
              </c:extLst>
            </c:dLbl>
            <c:dLbl>
              <c:idx val="1"/>
              <c:layout>
                <c:manualLayout>
                  <c:x val="-4.549520766773163E-2"/>
                  <c:y val="4.72408861714967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BEF-424A-89CF-812D9100965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46536D"/>
                    </a:solidFill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'Otros gráficos'!$D$91:$D$96</c:f>
              <c:numCache>
                <c:formatCode>0%</c:formatCode>
                <c:ptCount val="6"/>
                <c:pt idx="0">
                  <c:v>0.33</c:v>
                </c:pt>
                <c:pt idx="1">
                  <c:v>0.39</c:v>
                </c:pt>
                <c:pt idx="2">
                  <c:v>0.66</c:v>
                </c:pt>
                <c:pt idx="3">
                  <c:v>0.67</c:v>
                </c:pt>
                <c:pt idx="4">
                  <c:v>0.68</c:v>
                </c:pt>
                <c:pt idx="5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EF-424A-89CF-812D9100965F}"/>
            </c:ext>
          </c:extLst>
        </c:ser>
        <c:ser>
          <c:idx val="5"/>
          <c:order val="5"/>
          <c:tx>
            <c:strRef>
              <c:f>'Otros gráficos'!$G$90</c:f>
              <c:strCache>
                <c:ptCount val="1"/>
              </c:strCache>
            </c:strRef>
          </c:tx>
          <c:spPr>
            <a:ln w="19050">
              <a:solidFill>
                <a:schemeClr val="tx1"/>
              </a:solidFill>
              <a:prstDash val="dash"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BEF-424A-89CF-812D9100965F}"/>
                </c:ext>
              </c:extLst>
            </c:dLbl>
            <c:dLbl>
              <c:idx val="1"/>
              <c:layout>
                <c:manualLayout>
                  <c:x val="-5.1522896698615546E-2"/>
                  <c:y val="-3.633914320884363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BEF-424A-89CF-812D9100965F}"/>
                </c:ext>
              </c:extLst>
            </c:dLbl>
            <c:numFmt formatCode="#,##0.00;\(#,##0.0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rgbClr val="46536D"/>
                    </a:solidFill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'Otros gráficos'!$G$91:$G$96</c:f>
              <c:numCache>
                <c:formatCode>#,##0.00;\(#,##0.00\)</c:formatCode>
                <c:ptCount val="6"/>
                <c:pt idx="0">
                  <c:v>0</c:v>
                </c:pt>
                <c:pt idx="1">
                  <c:v>-0.13</c:v>
                </c:pt>
                <c:pt idx="2">
                  <c:v>-0.41</c:v>
                </c:pt>
                <c:pt idx="3">
                  <c:v>-0.48</c:v>
                </c:pt>
                <c:pt idx="4">
                  <c:v>-0.54</c:v>
                </c:pt>
                <c:pt idx="5">
                  <c:v>-0.68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EF-424A-89CF-812D910096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1231684"/>
        <c:axId val="1238487313"/>
      </c:lineChart>
      <c:catAx>
        <c:axId val="7712316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Verdana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 lvl="0">
              <a:defRPr sz="1800" b="0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238487313"/>
        <c:crosses val="autoZero"/>
        <c:auto val="1"/>
        <c:lblAlgn val="ctr"/>
        <c:lblOffset val="100"/>
        <c:noMultiLvlLbl val="1"/>
      </c:catAx>
      <c:valAx>
        <c:axId val="1238487313"/>
        <c:scaling>
          <c:orientation val="minMax"/>
          <c:max val="1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Verdana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chemeClr val="lt1"/>
                </a:solidFill>
                <a:latin typeface="Verdana"/>
              </a:defRPr>
            </a:pPr>
            <a:endParaRPr lang="es-ES"/>
          </a:p>
        </c:txPr>
        <c:crossAx val="771231684"/>
        <c:crosses val="autoZero"/>
        <c:crossBetween val="between"/>
      </c:valAx>
      <c:spPr>
        <a:noFill/>
      </c:spPr>
    </c:plotArea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4.8715679299658754E-2"/>
          <c:y val="0.11975425509484444"/>
          <c:w val="0.92028714634254183"/>
          <c:h val="0.74266029765669872"/>
        </c:manualLayout>
      </c:layout>
      <c:areaChart>
        <c:grouping val="standard"/>
        <c:varyColors val="1"/>
        <c:ser>
          <c:idx val="2"/>
          <c:order val="2"/>
          <c:tx>
            <c:strRef>
              <c:f>'Otros gráficos'!$D$116</c:f>
              <c:strCache>
                <c:ptCount val="1"/>
                <c:pt idx="0">
                  <c:v>area</c:v>
                </c:pt>
              </c:strCache>
            </c:strRef>
          </c:tx>
          <c:spPr>
            <a:solidFill>
              <a:schemeClr val="tx1">
                <a:alpha val="11000"/>
              </a:schemeClr>
            </a:solidFill>
          </c:spPr>
          <c:val>
            <c:numRef>
              <c:f>'Otros gráficos'!$D$117:$D$127</c:f>
              <c:numCache>
                <c:formatCode>General</c:formatCode>
                <c:ptCount val="11"/>
                <c:pt idx="0" formatCode="0.0">
                  <c:v>1.0980000000000001</c:v>
                </c:pt>
                <c:pt idx="1">
                  <c:v>1.4224999999999999</c:v>
                </c:pt>
                <c:pt idx="2" formatCode="0.0">
                  <c:v>1.7469999999999999</c:v>
                </c:pt>
                <c:pt idx="3">
                  <c:v>2.1992599999999998</c:v>
                </c:pt>
                <c:pt idx="4" formatCode="0.0">
                  <c:v>2.6515200000000001</c:v>
                </c:pt>
                <c:pt idx="5">
                  <c:v>3.6836099999999998</c:v>
                </c:pt>
                <c:pt idx="6" formatCode="0.0">
                  <c:v>4.7157</c:v>
                </c:pt>
                <c:pt idx="7">
                  <c:v>5.0716800000000006</c:v>
                </c:pt>
                <c:pt idx="8" formatCode="0.0">
                  <c:v>5.4276600000000004</c:v>
                </c:pt>
                <c:pt idx="9">
                  <c:v>5.5638300000000003</c:v>
                </c:pt>
                <c:pt idx="10" formatCode="0.0">
                  <c:v>5.7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EFB-4613-B1D8-05FEE86B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27324875"/>
        <c:axId val="322187424"/>
      </c:areaChart>
      <c:barChart>
        <c:barDir val="col"/>
        <c:grouping val="clustered"/>
        <c:varyColors val="1"/>
        <c:ser>
          <c:idx val="1"/>
          <c:order val="1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 cmpd="sng">
              <a:noFill/>
              <a:prstDash val="solid"/>
            </a:ln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1-686B-4340-A1F6-37D7F3396134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2-686B-4340-A1F6-37D7F3396134}"/>
              </c:ext>
            </c:extLst>
          </c:dPt>
          <c:dPt>
            <c:idx val="2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686B-4340-A1F6-37D7F3396134}"/>
              </c:ext>
            </c:extLst>
          </c:dPt>
          <c:dPt>
            <c:idx val="3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4-686B-4340-A1F6-37D7F3396134}"/>
              </c:ext>
            </c:extLst>
          </c:dPt>
          <c:dPt>
            <c:idx val="4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5-686B-4340-A1F6-37D7F3396134}"/>
              </c:ext>
            </c:extLst>
          </c:dPt>
          <c:dPt>
            <c:idx val="5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686B-4340-A1F6-37D7F3396134}"/>
              </c:ext>
            </c:extLst>
          </c:dPt>
          <c:dPt>
            <c:idx val="6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7-686B-4340-A1F6-37D7F3396134}"/>
              </c:ext>
            </c:extLst>
          </c:dPt>
          <c:dPt>
            <c:idx val="8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8-686B-4340-A1F6-37D7F3396134}"/>
              </c:ext>
            </c:extLst>
          </c:dPt>
          <c:dPt>
            <c:idx val="9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9-686B-4340-A1F6-37D7F3396134}"/>
              </c:ext>
            </c:extLst>
          </c:dPt>
          <c:dPt>
            <c:idx val="1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A-686B-4340-A1F6-37D7F3396134}"/>
              </c:ext>
            </c:extLst>
          </c:dPt>
          <c:dPt>
            <c:idx val="1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B-686B-4340-A1F6-37D7F3396134}"/>
              </c:ext>
            </c:extLst>
          </c:dPt>
          <c:dPt>
            <c:idx val="12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C-686B-4340-A1F6-37D7F3396134}"/>
              </c:ext>
            </c:extLst>
          </c:dPt>
          <c:dPt>
            <c:idx val="14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D-686B-4340-A1F6-37D7F3396134}"/>
              </c:ext>
            </c:extLst>
          </c:dPt>
          <c:dPt>
            <c:idx val="15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E-686B-4340-A1F6-37D7F339613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6B-4340-A1F6-37D7F3396134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6B-4340-A1F6-37D7F3396134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6B-4340-A1F6-37D7F3396134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4EFB-4613-B1D8-05FEE86BD046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686B-4340-A1F6-37D7F3396134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 sz="2000" b="1">
                      <a:solidFill>
                        <a:srgbClr val="2B7BF4"/>
                      </a:solidFill>
                      <a:latin typeface="BBVABentonSansLight" panose="00000000000000020000" pitchFamily="2" charset="0"/>
                    </a:defRPr>
                  </a:pPr>
                  <a:endParaRPr lang="es-E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A-686B-4340-A1F6-37D7F33961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>
                    <a:solidFill>
                      <a:srgbClr val="2B7BF4"/>
                    </a:solidFill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'Otros gráficos'!$B$117:$B$127</c:f>
              <c:strCache>
                <c:ptCount val="11"/>
                <c:pt idx="0">
                  <c:v>Serie 1</c:v>
                </c:pt>
                <c:pt idx="2">
                  <c:v>Serie 2</c:v>
                </c:pt>
                <c:pt idx="4">
                  <c:v>Serie 3</c:v>
                </c:pt>
                <c:pt idx="6">
                  <c:v>Serie 4</c:v>
                </c:pt>
                <c:pt idx="8">
                  <c:v>Serie 5</c:v>
                </c:pt>
                <c:pt idx="10">
                  <c:v>Serie 6</c:v>
                </c:pt>
              </c:strCache>
            </c:strRef>
          </c:cat>
          <c:val>
            <c:numRef>
              <c:f>'Otros gráficos'!$E$117:$E$127</c:f>
              <c:numCache>
                <c:formatCode>General</c:formatCode>
                <c:ptCount val="11"/>
                <c:pt idx="0" formatCode="0.0">
                  <c:v>5.4</c:v>
                </c:pt>
                <c:pt idx="2" formatCode="#,##0.0">
                  <c:v>5.3</c:v>
                </c:pt>
                <c:pt idx="4" formatCode="#,##0.0">
                  <c:v>6.5</c:v>
                </c:pt>
                <c:pt idx="6" formatCode="#,##0.0">
                  <c:v>8.6</c:v>
                </c:pt>
                <c:pt idx="8" formatCode="#,##0.0">
                  <c:v>8.3000000000000007</c:v>
                </c:pt>
                <c:pt idx="10" formatCode="#,##0.0">
                  <c:v>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86B-4340-A1F6-37D7F3396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27324875"/>
        <c:axId val="322187424"/>
      </c:barChart>
      <c:lineChart>
        <c:grouping val="standard"/>
        <c:varyColors val="1"/>
        <c:ser>
          <c:idx val="0"/>
          <c:order val="0"/>
          <c:spPr>
            <a:ln w="38100" cmpd="sng">
              <a:solidFill>
                <a:schemeClr val="dk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9"/>
              <c:spPr>
                <a:solidFill>
                  <a:schemeClr val="tx1"/>
                </a:solidFill>
                <a:ln w="120650">
                  <a:solidFill>
                    <a:schemeClr val="tx1">
                      <a:alpha val="25000"/>
                    </a:scheme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4EFB-4613-B1D8-05FEE86BD046}"/>
              </c:ext>
            </c:extLst>
          </c:dPt>
          <c:dPt>
            <c:idx val="10"/>
            <c:marker>
              <c:symbol val="circle"/>
              <c:size val="15"/>
              <c:spPr>
                <a:solidFill>
                  <a:schemeClr val="tx1"/>
                </a:solidFill>
                <a:ln w="171450">
                  <a:solidFill>
                    <a:schemeClr val="tx1">
                      <a:alpha val="25000"/>
                    </a:schemeClr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4EFB-4613-B1D8-05FEE86BD046}"/>
              </c:ext>
            </c:extLst>
          </c:dPt>
          <c:cat>
            <c:strRef>
              <c:f>'Otros gráficos'!$B$117:$B$127</c:f>
              <c:strCache>
                <c:ptCount val="11"/>
                <c:pt idx="0">
                  <c:v>Serie 1</c:v>
                </c:pt>
                <c:pt idx="2">
                  <c:v>Serie 2</c:v>
                </c:pt>
                <c:pt idx="4">
                  <c:v>Serie 3</c:v>
                </c:pt>
                <c:pt idx="6">
                  <c:v>Serie 4</c:v>
                </c:pt>
                <c:pt idx="8">
                  <c:v>Serie 5</c:v>
                </c:pt>
                <c:pt idx="10">
                  <c:v>Serie 6</c:v>
                </c:pt>
              </c:strCache>
            </c:strRef>
          </c:cat>
          <c:val>
            <c:numRef>
              <c:f>'Otros gráficos'!$C$117:$C$127</c:f>
              <c:numCache>
                <c:formatCode>General</c:formatCode>
                <c:ptCount val="11"/>
                <c:pt idx="0" formatCode="0.0">
                  <c:v>1.0980000000000001</c:v>
                </c:pt>
                <c:pt idx="1">
                  <c:v>1.4224999999999999</c:v>
                </c:pt>
                <c:pt idx="2" formatCode="#,##0.0">
                  <c:v>1.7469999999999999</c:v>
                </c:pt>
                <c:pt idx="3">
                  <c:v>2.1992599999999998</c:v>
                </c:pt>
                <c:pt idx="4" formatCode="#,##0.0">
                  <c:v>2.6515200000000001</c:v>
                </c:pt>
                <c:pt idx="5">
                  <c:v>3.6836099999999998</c:v>
                </c:pt>
                <c:pt idx="6" formatCode="#,##0.0">
                  <c:v>4.7157</c:v>
                </c:pt>
                <c:pt idx="7">
                  <c:v>5.0716800000000006</c:v>
                </c:pt>
                <c:pt idx="8" formatCode="#,##0.0">
                  <c:v>5.4276600000000004</c:v>
                </c:pt>
                <c:pt idx="9">
                  <c:v>5.5638300000000003</c:v>
                </c:pt>
                <c:pt idx="10" formatCode="#,##0.0">
                  <c:v>5.7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86B-4340-A1F6-37D7F3396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7324875"/>
        <c:axId val="322187424"/>
      </c:lineChart>
      <c:catAx>
        <c:axId val="162732487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Verdana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00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322187424"/>
        <c:crosses val="autoZero"/>
        <c:auto val="1"/>
        <c:lblAlgn val="ctr"/>
        <c:lblOffset val="100"/>
        <c:noMultiLvlLbl val="1"/>
      </c:catAx>
      <c:valAx>
        <c:axId val="3221874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Verdana"/>
                  </a:defRPr>
                </a:pPr>
                <a:endParaRPr lang="es-ES"/>
              </a:p>
            </c:rich>
          </c:tx>
          <c:overlay val="0"/>
        </c:title>
        <c:numFmt formatCode="0.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chemeClr val="lt1"/>
                </a:solidFill>
                <a:latin typeface="Verdana"/>
              </a:defRPr>
            </a:pPr>
            <a:endParaRPr lang="es-ES"/>
          </a:p>
        </c:txPr>
        <c:crossAx val="1627324875"/>
        <c:crosses val="autoZero"/>
        <c:crossBetween val="between"/>
      </c:valAx>
      <c:spPr>
        <a:noFill/>
      </c:spPr>
    </c:plotArea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0043190434529017"/>
          <c:y val="8.9361799573710987E-2"/>
          <c:w val="0.84940740740740739"/>
          <c:h val="0.58633831844844908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'Otros gráficos'!$M$7</c:f>
              <c:strCache>
                <c:ptCount val="1"/>
                <c:pt idx="0">
                  <c:v>Precio del gas</c:v>
                </c:pt>
              </c:strCache>
            </c:strRef>
          </c:tx>
          <c:spPr>
            <a:solidFill>
              <a:schemeClr val="tx1"/>
            </a:solidFill>
            <a:ln cmpd="sng">
              <a:noFill/>
            </a:ln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6644-42FC-9DB2-79C4646F747C}"/>
              </c:ext>
            </c:extLst>
          </c:dPt>
          <c:cat>
            <c:numRef>
              <c:f>'Otros gráficos'!$J$8:$J$9</c:f>
              <c:numCache>
                <c:formatCode>General</c:formatCode>
                <c:ptCount val="2"/>
                <c:pt idx="0">
                  <c:v>2024</c:v>
                </c:pt>
                <c:pt idx="1">
                  <c:v>2025</c:v>
                </c:pt>
              </c:numCache>
            </c:numRef>
          </c:cat>
          <c:val>
            <c:numRef>
              <c:f>'Otros gráficos'!$M$8:$M$9</c:f>
              <c:numCache>
                <c:formatCode>General</c:formatCode>
                <c:ptCount val="2"/>
                <c:pt idx="0">
                  <c:v>0</c:v>
                </c:pt>
                <c:pt idx="1">
                  <c:v>-0.01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44-42FC-9DB2-79C4646F747C}"/>
            </c:ext>
          </c:extLst>
        </c:ser>
        <c:ser>
          <c:idx val="1"/>
          <c:order val="1"/>
          <c:tx>
            <c:strRef>
              <c:f>'Otros gráficos'!$N$7</c:f>
              <c:strCache>
                <c:ptCount val="1"/>
                <c:pt idx="0">
                  <c:v>Otros</c:v>
                </c:pt>
              </c:strCache>
            </c:strRef>
          </c:tx>
          <c:spPr>
            <a:solidFill>
              <a:srgbClr val="85C8FF"/>
            </a:solidFill>
            <a:ln cmpd="sng">
              <a:noFill/>
            </a:ln>
          </c:spPr>
          <c:invertIfNegative val="1"/>
          <c:cat>
            <c:numRef>
              <c:f>'Otros gráficos'!$J$8:$J$9</c:f>
              <c:numCache>
                <c:formatCode>General</c:formatCode>
                <c:ptCount val="2"/>
                <c:pt idx="0">
                  <c:v>2024</c:v>
                </c:pt>
                <c:pt idx="1">
                  <c:v>2025</c:v>
                </c:pt>
              </c:numCache>
            </c:numRef>
          </c:cat>
          <c:val>
            <c:numRef>
              <c:f>'Otros gráficos'!$N$8:$N$9</c:f>
              <c:numCache>
                <c:formatCode>General</c:formatCode>
                <c:ptCount val="2"/>
                <c:pt idx="0">
                  <c:v>0.09</c:v>
                </c:pt>
                <c:pt idx="1">
                  <c:v>0.09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2-6644-42FC-9DB2-79C4646F747C}"/>
            </c:ext>
          </c:extLst>
        </c:ser>
        <c:ser>
          <c:idx val="3"/>
          <c:order val="2"/>
          <c:tx>
            <c:strRef>
              <c:f>'Otros gráficos'!$L$7</c:f>
              <c:strCache>
                <c:ptCount val="1"/>
                <c:pt idx="0">
                  <c:v>Precio del petróleo</c:v>
                </c:pt>
              </c:strCache>
            </c:strRef>
          </c:tx>
          <c:spPr>
            <a:solidFill>
              <a:srgbClr val="FFB56B"/>
            </a:solidFill>
            <a:ln cmpd="sng">
              <a:noFill/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3-6644-42FC-9DB2-79C4646F747C}"/>
              </c:ext>
            </c:extLst>
          </c:dPt>
          <c:cat>
            <c:numRef>
              <c:f>'Otros gráficos'!$J$8:$J$9</c:f>
              <c:numCache>
                <c:formatCode>General</c:formatCode>
                <c:ptCount val="2"/>
                <c:pt idx="0">
                  <c:v>2024</c:v>
                </c:pt>
                <c:pt idx="1">
                  <c:v>2025</c:v>
                </c:pt>
              </c:numCache>
            </c:numRef>
          </c:cat>
          <c:val>
            <c:numRef>
              <c:f>'Otros gráficos'!$L$8:$L$9</c:f>
              <c:numCache>
                <c:formatCode>General</c:formatCode>
                <c:ptCount val="2"/>
                <c:pt idx="0">
                  <c:v>0.01</c:v>
                </c:pt>
                <c:pt idx="1">
                  <c:v>0.05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4-6644-42FC-9DB2-79C4646F747C}"/>
            </c:ext>
          </c:extLst>
        </c:ser>
        <c:ser>
          <c:idx val="4"/>
          <c:order val="3"/>
          <c:tx>
            <c:strRef>
              <c:f>'Otros gráficos'!$K$7</c:f>
              <c:strCache>
                <c:ptCount val="1"/>
                <c:pt idx="0">
                  <c:v>Tipos de interés (BCE y Fed)</c:v>
                </c:pt>
              </c:strCache>
            </c:strRef>
          </c:tx>
          <c:spPr>
            <a:solidFill>
              <a:srgbClr val="CAD1D8"/>
            </a:solidFill>
            <a:ln cmpd="sng">
              <a:noFill/>
            </a:ln>
          </c:spPr>
          <c:invertIfNegative val="1"/>
          <c:dPt>
            <c:idx val="0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5-6644-42FC-9DB2-79C4646F747C}"/>
              </c:ext>
            </c:extLst>
          </c:dPt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6-6644-42FC-9DB2-79C4646F747C}"/>
              </c:ext>
            </c:extLst>
          </c:dPt>
          <c:cat>
            <c:numRef>
              <c:f>'Otros gráficos'!$J$8:$J$9</c:f>
              <c:numCache>
                <c:formatCode>General</c:formatCode>
                <c:ptCount val="2"/>
                <c:pt idx="0">
                  <c:v>2024</c:v>
                </c:pt>
                <c:pt idx="1">
                  <c:v>2025</c:v>
                </c:pt>
              </c:numCache>
            </c:numRef>
          </c:cat>
          <c:val>
            <c:numRef>
              <c:f>'Otros gráficos'!$K$8:$K$9</c:f>
              <c:numCache>
                <c:formatCode>General</c:formatCode>
                <c:ptCount val="2"/>
                <c:pt idx="0">
                  <c:v>0</c:v>
                </c:pt>
                <c:pt idx="1">
                  <c:v>0.15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6644-42FC-9DB2-79C4646F7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86150331"/>
        <c:axId val="1879063426"/>
      </c:barChart>
      <c:lineChart>
        <c:grouping val="standard"/>
        <c:varyColors val="0"/>
        <c:ser>
          <c:idx val="2"/>
          <c:order val="4"/>
          <c:tx>
            <c:strRef>
              <c:f>'Otros gráficos'!$O$7</c:f>
              <c:strCache>
                <c:ptCount val="1"/>
                <c:pt idx="0">
                  <c:v>Total</c:v>
                </c:pt>
              </c:strCache>
            </c:strRef>
          </c:tx>
          <c:spPr>
            <a:ln cmpd="sng">
              <a:noFill/>
            </a:ln>
          </c:spPr>
          <c:marker>
            <c:symbol val="circle"/>
            <c:size val="11"/>
            <c:spPr>
              <a:solidFill>
                <a:schemeClr val="accent5"/>
              </a:solidFill>
              <a:ln w="28575" cmpd="sng">
                <a:solidFill>
                  <a:schemeClr val="bg1"/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8-6644-42FC-9DB2-79C4646F747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9-6644-42FC-9DB2-79C4646F747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>
                    <a:solidFill>
                      <a:schemeClr val="tx1"/>
                    </a:solidFill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'Otros gráficos'!$J$8:$J$9</c:f>
              <c:numCache>
                <c:formatCode>General</c:formatCode>
                <c:ptCount val="2"/>
                <c:pt idx="0">
                  <c:v>2024</c:v>
                </c:pt>
                <c:pt idx="1">
                  <c:v>2025</c:v>
                </c:pt>
              </c:numCache>
            </c:numRef>
          </c:cat>
          <c:val>
            <c:numRef>
              <c:f>'Otros gráficos'!$O$8:$O$9</c:f>
              <c:numCache>
                <c:formatCode>General</c:formatCode>
                <c:ptCount val="2"/>
                <c:pt idx="0">
                  <c:v>0.1</c:v>
                </c:pt>
                <c:pt idx="1">
                  <c:v>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644-42FC-9DB2-79C4646F7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6150331"/>
        <c:axId val="1879063426"/>
      </c:lineChart>
      <c:catAx>
        <c:axId val="8861503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ln>
            <a:noFill/>
          </a:ln>
        </c:spPr>
        <c:txPr>
          <a:bodyPr/>
          <a:lstStyle/>
          <a:p>
            <a:pPr lvl="0">
              <a:defRPr sz="105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879063426"/>
        <c:crosses val="autoZero"/>
        <c:auto val="1"/>
        <c:lblAlgn val="ctr"/>
        <c:lblOffset val="100"/>
        <c:noMultiLvlLbl val="1"/>
      </c:catAx>
      <c:valAx>
        <c:axId val="1879063426"/>
        <c:scaling>
          <c:orientation val="minMax"/>
          <c:max val="0.4"/>
          <c:min val="-0.1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886150331"/>
        <c:crosses val="autoZero"/>
        <c:crossBetween val="between"/>
        <c:majorUnit val="0.1"/>
      </c:valAx>
      <c:spPr>
        <a:noFill/>
      </c:spPr>
    </c:plotArea>
    <c:legend>
      <c:legendPos val="b"/>
      <c:legendEntry>
        <c:idx val="4"/>
        <c:delete val="1"/>
      </c:legendEntry>
      <c:layout>
        <c:manualLayout>
          <c:xMode val="edge"/>
          <c:yMode val="edge"/>
          <c:x val="9.4880431612715074E-2"/>
          <c:y val="0.82999031161373282"/>
          <c:w val="0.86693321668124801"/>
          <c:h val="0.13868977787172576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0757101195683874"/>
          <c:y val="0.13119695608518733"/>
          <c:w val="0.7288766404199476"/>
          <c:h val="0.58509115890715002"/>
        </c:manualLayout>
      </c:layout>
      <c:barChart>
        <c:barDir val="col"/>
        <c:grouping val="stacked"/>
        <c:varyColors val="1"/>
        <c:ser>
          <c:idx val="0"/>
          <c:order val="0"/>
          <c:tx>
            <c:strRef>
              <c:f>'Otros gráficos'!$C$7</c:f>
              <c:strCache>
                <c:ptCount val="1"/>
                <c:pt idx="0">
                  <c:v>Customers</c:v>
                </c:pt>
              </c:strCache>
            </c:strRef>
          </c:tx>
          <c:spPr>
            <a:solidFill>
              <a:srgbClr val="001391"/>
            </a:solidFill>
            <a:ln cmpd="sng">
              <a:solidFill>
                <a:srgbClr val="000000"/>
              </a:solidFill>
            </a:ln>
          </c:spPr>
          <c:invertIfNegative val="1"/>
          <c:dPt>
            <c:idx val="1"/>
            <c:invertIfNegative val="1"/>
            <c:bubble3D val="0"/>
            <c:extLst>
              <c:ext xmlns:c16="http://schemas.microsoft.com/office/drawing/2014/chart" uri="{C3380CC4-5D6E-409C-BE32-E72D297353CC}">
                <c16:uniqueId val="{00000000-6858-48CB-8E22-A75436A9938C}"/>
              </c:ext>
            </c:extLst>
          </c:dPt>
          <c:cat>
            <c:strRef>
              <c:f>'Otros gráficos'!$B$8:$B$10</c:f>
              <c:strCache>
                <c:ptCount val="3"/>
                <c:pt idx="0">
                  <c:v>2Q15</c:v>
                </c:pt>
                <c:pt idx="1">
                  <c:v>3Q15</c:v>
                </c:pt>
                <c:pt idx="2">
                  <c:v>4Q15</c:v>
                </c:pt>
              </c:strCache>
            </c:strRef>
          </c:cat>
          <c:val>
            <c:numRef>
              <c:f>'Otros gráficos'!$C$8:$C$10</c:f>
              <c:numCache>
                <c:formatCode>#,##0.0</c:formatCode>
                <c:ptCount val="3"/>
                <c:pt idx="0" formatCode="0.0">
                  <c:v>15.4</c:v>
                </c:pt>
                <c:pt idx="1">
                  <c:v>17.399999999999999</c:v>
                </c:pt>
                <c:pt idx="2" formatCode="0.0">
                  <c:v>18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6858-48CB-8E22-A75436A9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2338272"/>
        <c:axId val="1216484260"/>
      </c:barChart>
      <c:lineChart>
        <c:grouping val="standard"/>
        <c:varyColors val="0"/>
        <c:ser>
          <c:idx val="1"/>
          <c:order val="1"/>
          <c:tx>
            <c:strRef>
              <c:f>'Otros gráficos'!$D$7</c:f>
              <c:strCache>
                <c:ptCount val="1"/>
                <c:pt idx="0">
                  <c:v>Penetration</c:v>
                </c:pt>
              </c:strCache>
            </c:strRef>
          </c:tx>
          <c:spPr>
            <a:ln cmpd="sng">
              <a:solidFill>
                <a:srgbClr val="85C8FF">
                  <a:alpha val="0"/>
                </a:srgbClr>
              </a:solidFill>
            </a:ln>
          </c:spPr>
          <c:marker>
            <c:symbol val="circle"/>
            <c:size val="9"/>
            <c:spPr>
              <a:solidFill>
                <a:schemeClr val="accent1"/>
              </a:solidFill>
              <a:ln w="117475" cmpd="sng">
                <a:solidFill>
                  <a:srgbClr val="85C8FF">
                    <a:alpha val="25000"/>
                  </a:srgbClr>
                </a:solidFill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2-6858-48CB-8E22-A75436A9938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6858-48CB-8E22-A75436A9938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4-6858-48CB-8E22-A75436A9938C}"/>
              </c:ext>
            </c:extLst>
          </c:dPt>
          <c:cat>
            <c:strRef>
              <c:f>'Otros gráficos'!$B$8:$B$10</c:f>
              <c:strCache>
                <c:ptCount val="3"/>
                <c:pt idx="0">
                  <c:v>2Q15</c:v>
                </c:pt>
                <c:pt idx="1">
                  <c:v>3Q15</c:v>
                </c:pt>
                <c:pt idx="2">
                  <c:v>4Q15</c:v>
                </c:pt>
              </c:strCache>
            </c:strRef>
          </c:cat>
          <c:val>
            <c:numRef>
              <c:f>'Otros gráficos'!$D$8:$D$10</c:f>
              <c:numCache>
                <c:formatCode>0%</c:formatCode>
                <c:ptCount val="3"/>
                <c:pt idx="0">
                  <c:v>0.6</c:v>
                </c:pt>
                <c:pt idx="1">
                  <c:v>0.2</c:v>
                </c:pt>
                <c:pt idx="2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58-48CB-8E22-A75436A993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02427422"/>
        <c:axId val="779368284"/>
      </c:lineChart>
      <c:catAx>
        <c:axId val="332338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050" b="1">
                <a:solidFill>
                  <a:srgbClr val="00139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216484260"/>
        <c:crosses val="autoZero"/>
        <c:auto val="1"/>
        <c:lblAlgn val="ctr"/>
        <c:lblOffset val="100"/>
        <c:noMultiLvlLbl val="1"/>
      </c:catAx>
      <c:valAx>
        <c:axId val="1216484260"/>
        <c:scaling>
          <c:orientation val="minMax"/>
          <c:max val="30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332338272"/>
        <c:crosses val="autoZero"/>
        <c:crossBetween val="between"/>
        <c:majorUnit val="10"/>
      </c:valAx>
      <c:catAx>
        <c:axId val="150242742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779368284"/>
        <c:crosses val="autoZero"/>
        <c:auto val="1"/>
        <c:lblAlgn val="ctr"/>
        <c:lblOffset val="100"/>
        <c:noMultiLvlLbl val="1"/>
      </c:catAx>
      <c:valAx>
        <c:axId val="779368284"/>
        <c:scaling>
          <c:orientation val="minMax"/>
          <c:max val="0.8"/>
        </c:scaling>
        <c:delete val="0"/>
        <c:axPos val="r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502427422"/>
        <c:crosses val="max"/>
        <c:crossBetween val="between"/>
        <c:majorUnit val="0.2"/>
      </c:valAx>
      <c:spPr>
        <a:noFill/>
      </c:spPr>
    </c:plotArea>
    <c:legend>
      <c:legendPos val="b"/>
      <c:layout>
        <c:manualLayout>
          <c:xMode val="edge"/>
          <c:yMode val="edge"/>
          <c:x val="7.3584135316418789E-2"/>
          <c:y val="0.89998626010674843"/>
          <c:w val="0.44882852143482066"/>
          <c:h val="6.9347002765593899E-2"/>
        </c:manualLayout>
      </c:layout>
      <c:overlay val="0"/>
      <c:txPr>
        <a:bodyPr/>
        <a:lstStyle/>
        <a:p>
          <a:pPr lvl="0">
            <a:defRPr sz="800" b="0">
              <a:solidFill>
                <a:srgbClr val="46536D"/>
              </a:solidFill>
              <a:latin typeface="+mn-lt"/>
            </a:defRPr>
          </a:pPr>
          <a:endParaRPr lang="es-ES"/>
        </a:p>
      </c:txPr>
    </c:legend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061601001532267"/>
          <c:y val="8.601457426517338E-2"/>
          <c:w val="0.80702909373897314"/>
          <c:h val="0.72319199230530962"/>
        </c:manualLayout>
      </c:layout>
      <c:areaChart>
        <c:grouping val="standard"/>
        <c:varyColors val="1"/>
        <c:ser>
          <c:idx val="0"/>
          <c:order val="0"/>
          <c:tx>
            <c:strRef>
              <c:f>'Otros gráficos'!$C$41:$C$42</c:f>
              <c:strCache>
                <c:ptCount val="2"/>
                <c:pt idx="1">
                  <c:v>Serie 1</c:v>
                </c:pt>
              </c:strCache>
            </c:strRef>
          </c:tx>
          <c:spPr>
            <a:solidFill>
              <a:schemeClr val="accent1">
                <a:alpha val="28000"/>
              </a:schemeClr>
            </a:solidFill>
          </c:spPr>
          <c:cat>
            <c:numRef>
              <c:f>'Otros gráficos'!$B$43:$B$48</c:f>
              <c:numCache>
                <c:formatCode>General</c:formatCode>
                <c:ptCount val="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</c:numCache>
            </c:numRef>
          </c:cat>
          <c:val>
            <c:numRef>
              <c:f>'Otros gráficos'!$C$43:$C$48</c:f>
              <c:numCache>
                <c:formatCode>0%</c:formatCode>
                <c:ptCount val="6"/>
                <c:pt idx="0">
                  <c:v>0.4</c:v>
                </c:pt>
                <c:pt idx="1">
                  <c:v>0.3</c:v>
                </c:pt>
                <c:pt idx="2">
                  <c:v>0.28999999999999998</c:v>
                </c:pt>
                <c:pt idx="3">
                  <c:v>0.3</c:v>
                </c:pt>
                <c:pt idx="4">
                  <c:v>0.28000000000000003</c:v>
                </c:pt>
                <c:pt idx="5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7D-4D78-8DE4-5042582A8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493268"/>
        <c:axId val="531704516"/>
      </c:areaChart>
      <c:lineChart>
        <c:grouping val="standard"/>
        <c:varyColors val="1"/>
        <c:ser>
          <c:idx val="1"/>
          <c:order val="1"/>
          <c:tx>
            <c:strRef>
              <c:f>'Otros gráficos'!$D$41:$D$42</c:f>
              <c:strCache>
                <c:ptCount val="2"/>
                <c:pt idx="1">
                  <c:v>Serie 1</c:v>
                </c:pt>
              </c:strCache>
            </c:strRef>
          </c:tx>
          <c:spPr>
            <a:ln w="44450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'Otros gráficos'!$B$43:$B$48</c:f>
              <c:numCache>
                <c:formatCode>General</c:formatCode>
                <c:ptCount val="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</c:numCache>
            </c:numRef>
          </c:cat>
          <c:val>
            <c:numRef>
              <c:f>'Otros gráficos'!$D$43:$D$48</c:f>
              <c:numCache>
                <c:formatCode>0%</c:formatCode>
                <c:ptCount val="6"/>
                <c:pt idx="0">
                  <c:v>0.4</c:v>
                </c:pt>
                <c:pt idx="1">
                  <c:v>0.3</c:v>
                </c:pt>
                <c:pt idx="2">
                  <c:v>0.28999999999999998</c:v>
                </c:pt>
                <c:pt idx="3">
                  <c:v>0.3</c:v>
                </c:pt>
                <c:pt idx="4">
                  <c:v>0.28000000000000003</c:v>
                </c:pt>
                <c:pt idx="5">
                  <c:v>0.24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306-4CE3-9236-849872C54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0493268"/>
        <c:axId val="531704516"/>
      </c:lineChart>
      <c:catAx>
        <c:axId val="1270493268"/>
        <c:scaling>
          <c:orientation val="minMax"/>
        </c:scaling>
        <c:delete val="0"/>
        <c:axPos val="b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r>
                  <a:rPr lang="es-ES" b="0">
                    <a:solidFill>
                      <a:srgbClr val="001391"/>
                    </a:solidFill>
                    <a:latin typeface="+mn-lt"/>
                  </a:rPr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105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531704516"/>
        <c:crosses val="autoZero"/>
        <c:auto val="1"/>
        <c:lblAlgn val="ctr"/>
        <c:lblOffset val="100"/>
        <c:noMultiLvlLbl val="1"/>
      </c:catAx>
      <c:valAx>
        <c:axId val="531704516"/>
        <c:scaling>
          <c:orientation val="minMax"/>
          <c:max val="0.5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270493268"/>
        <c:crosses val="autoZero"/>
        <c:crossBetween val="midCat"/>
        <c:majorUnit val="0.1"/>
      </c:valAx>
      <c:spPr>
        <a:noFill/>
      </c:spPr>
    </c:plotArea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9.0237650254807636E-2"/>
          <c:y val="7.6190476190476197E-2"/>
          <c:w val="0.86392577386970593"/>
          <c:h val="0.77989417989417986"/>
        </c:manualLayout>
      </c:layout>
      <c:stockChart>
        <c:ser>
          <c:idx val="0"/>
          <c:order val="0"/>
          <c:spPr>
            <a:ln w="28575">
              <a:noFill/>
            </a:ln>
          </c:spPr>
          <c:marker>
            <c:symbol val="none"/>
          </c:marker>
          <c:cat>
            <c:strRef>
              <c:f>'Otros gráficos'!$B$67:$B$71</c:f>
              <c:strCache>
                <c:ptCount val="5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</c:strCache>
            </c:strRef>
          </c:cat>
          <c:val>
            <c:numRef>
              <c:f>'Otros gráficos'!$D$67:$D$71</c:f>
              <c:numCache>
                <c:formatCode>General</c:formatCode>
                <c:ptCount val="5"/>
                <c:pt idx="0">
                  <c:v>60</c:v>
                </c:pt>
                <c:pt idx="1">
                  <c:v>50</c:v>
                </c:pt>
                <c:pt idx="2">
                  <c:v>60</c:v>
                </c:pt>
                <c:pt idx="3">
                  <c:v>65</c:v>
                </c:pt>
                <c:pt idx="4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7-4B67-95A9-58919FB2F742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cat>
            <c:strRef>
              <c:f>'Otros gráficos'!$B$67:$B$71</c:f>
              <c:strCache>
                <c:ptCount val="5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</c:strCache>
            </c:strRef>
          </c:cat>
          <c:val>
            <c:numRef>
              <c:f>'Otros gráficos'!$F$67:$F$71</c:f>
              <c:numCache>
                <c:formatCode>General</c:formatCode>
                <c:ptCount val="5"/>
                <c:pt idx="0">
                  <c:v>55</c:v>
                </c:pt>
                <c:pt idx="1">
                  <c:v>47</c:v>
                </c:pt>
                <c:pt idx="2">
                  <c:v>50</c:v>
                </c:pt>
                <c:pt idx="3">
                  <c:v>50</c:v>
                </c:pt>
                <c:pt idx="4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7-4B67-95A9-58919FB2F742}"/>
            </c:ext>
          </c:extLst>
        </c:ser>
        <c:ser>
          <c:idx val="2"/>
          <c:order val="2"/>
          <c:spPr>
            <a:ln w="28575">
              <a:noFill/>
            </a:ln>
          </c:spPr>
          <c:marker>
            <c:symbol val="none"/>
          </c:marker>
          <c:cat>
            <c:strRef>
              <c:f>'Otros gráficos'!$B$67:$B$71</c:f>
              <c:strCache>
                <c:ptCount val="5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</c:strCache>
            </c:strRef>
          </c:cat>
          <c:val>
            <c:numRef>
              <c:f>'Otros gráficos'!$C$67:$C$71</c:f>
              <c:numCache>
                <c:formatCode>General</c:formatCode>
                <c:ptCount val="5"/>
                <c:pt idx="0">
                  <c:v>14</c:v>
                </c:pt>
                <c:pt idx="1">
                  <c:v>30</c:v>
                </c:pt>
                <c:pt idx="2">
                  <c:v>55</c:v>
                </c:pt>
                <c:pt idx="3">
                  <c:v>36</c:v>
                </c:pt>
                <c:pt idx="4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7-4B67-95A9-58919FB2F742}"/>
            </c:ext>
          </c:extLst>
        </c:ser>
        <c:ser>
          <c:idx val="3"/>
          <c:order val="3"/>
          <c:spPr>
            <a:ln w="28575">
              <a:noFill/>
            </a:ln>
          </c:spPr>
          <c:marker>
            <c:symbol val="none"/>
          </c:marker>
          <c:cat>
            <c:strRef>
              <c:f>'Otros gráficos'!$B$67:$B$71</c:f>
              <c:strCache>
                <c:ptCount val="5"/>
                <c:pt idx="0">
                  <c:v>Serie 1</c:v>
                </c:pt>
                <c:pt idx="1">
                  <c:v>Serie 2</c:v>
                </c:pt>
                <c:pt idx="2">
                  <c:v>Serie 3</c:v>
                </c:pt>
                <c:pt idx="3">
                  <c:v>Serie 4</c:v>
                </c:pt>
                <c:pt idx="4">
                  <c:v>Serie 5</c:v>
                </c:pt>
              </c:strCache>
            </c:strRef>
          </c:cat>
          <c:val>
            <c:numRef>
              <c:f>'Otros gráficos'!$E$67:$E$71</c:f>
              <c:numCache>
                <c:formatCode>General</c:formatCode>
                <c:ptCount val="5"/>
                <c:pt idx="0">
                  <c:v>5</c:v>
                </c:pt>
                <c:pt idx="1">
                  <c:v>25</c:v>
                </c:pt>
                <c:pt idx="2">
                  <c:v>30</c:v>
                </c:pt>
                <c:pt idx="3">
                  <c:v>30</c:v>
                </c:pt>
                <c:pt idx="4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707-4B67-95A9-58919FB2F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19050">
              <a:solidFill>
                <a:schemeClr val="accent1"/>
              </a:solidFill>
            </a:ln>
          </c:spPr>
        </c:dropLines>
        <c:upDownBars>
          <c:gapWidth val="150"/>
          <c:upBars>
            <c:spPr>
              <a:solidFill>
                <a:schemeClr val="accent1"/>
              </a:solidFill>
              <a:ln w="19050" cmpd="sng">
                <a:solidFill>
                  <a:schemeClr val="accent1"/>
                </a:solidFill>
              </a:ln>
            </c:spPr>
          </c:upBars>
          <c:downBars>
            <c:spPr>
              <a:solidFill>
                <a:schemeClr val="accent1"/>
              </a:solidFill>
              <a:ln w="19050" cmpd="sng">
                <a:noFill/>
              </a:ln>
            </c:spPr>
          </c:downBars>
        </c:upDownBars>
        <c:axId val="963177655"/>
        <c:axId val="754751191"/>
      </c:stockChart>
      <c:catAx>
        <c:axId val="9631776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5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754751191"/>
        <c:crosses val="autoZero"/>
        <c:auto val="1"/>
        <c:lblAlgn val="ctr"/>
        <c:lblOffset val="100"/>
        <c:noMultiLvlLbl val="1"/>
      </c:catAx>
      <c:valAx>
        <c:axId val="754751191"/>
        <c:scaling>
          <c:orientation val="minMax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963177655"/>
        <c:crosses val="autoZero"/>
        <c:crossBetween val="between"/>
      </c:valAx>
      <c:spPr>
        <a:noFill/>
      </c:spPr>
    </c:plotArea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1801087651179896"/>
          <c:y val="0.11321278621811802"/>
          <c:w val="0.82384343610953703"/>
          <c:h val="0.6214910037881457"/>
        </c:manualLayout>
      </c:layout>
      <c:barChart>
        <c:barDir val="col"/>
        <c:grouping val="clustered"/>
        <c:varyColors val="1"/>
        <c:ser>
          <c:idx val="0"/>
          <c:order val="0"/>
          <c:tx>
            <c:strRef>
              <c:f>'Otros gráficos'!$C$139:$C$140</c:f>
              <c:strCache>
                <c:ptCount val="2"/>
                <c:pt idx="0">
                  <c:v>Pais</c:v>
                </c:pt>
                <c:pt idx="1">
                  <c:v>13.6%</c:v>
                </c:pt>
              </c:strCache>
            </c:strRef>
          </c:tx>
          <c:spPr>
            <a:solidFill>
              <a:srgbClr val="E2E6EA">
                <a:alpha val="42000"/>
              </a:srgbClr>
            </a:solidFill>
            <a:ln cmpd="sng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0F00-4D83-A630-14F434095364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0F00-4D83-A630-14F434095364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0F00-4D83-A630-14F434095364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F00-4D83-A630-14F434095364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0F00-4D83-A630-14F434095364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0F00-4D83-A630-14F434095364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0F00-4D83-A630-14F434095364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0F00-4D83-A630-14F434095364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0F00-4D83-A630-14F434095364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0F00-4D83-A630-14F434095364}"/>
              </c:ext>
            </c:extLst>
          </c:dPt>
          <c:dPt>
            <c:idx val="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0F00-4D83-A630-14F434095364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0F00-4D83-A630-14F434095364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0F00-4D83-A630-14F434095364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0F00-4D83-A630-14F434095364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0F00-4D83-A630-14F434095364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0F00-4D83-A630-14F434095364}"/>
              </c:ext>
            </c:extLst>
          </c:dPt>
          <c:cat>
            <c:numRef>
              <c:f>'Otros gráficos'!$B$141:$B$155</c:f>
              <c:numCache>
                <c:formatCode>mmm"-"yy</c:formatCode>
                <c:ptCount val="15"/>
                <c:pt idx="0">
                  <c:v>43709</c:v>
                </c:pt>
                <c:pt idx="1">
                  <c:v>43831</c:v>
                </c:pt>
                <c:pt idx="2">
                  <c:v>43952</c:v>
                </c:pt>
                <c:pt idx="3">
                  <c:v>44075</c:v>
                </c:pt>
                <c:pt idx="4">
                  <c:v>44197</c:v>
                </c:pt>
                <c:pt idx="5">
                  <c:v>44317</c:v>
                </c:pt>
                <c:pt idx="6">
                  <c:v>44440</c:v>
                </c:pt>
                <c:pt idx="7">
                  <c:v>44562</c:v>
                </c:pt>
                <c:pt idx="8">
                  <c:v>44682</c:v>
                </c:pt>
                <c:pt idx="9">
                  <c:v>44805</c:v>
                </c:pt>
                <c:pt idx="10">
                  <c:v>44927</c:v>
                </c:pt>
                <c:pt idx="11">
                  <c:v>45047</c:v>
                </c:pt>
                <c:pt idx="12">
                  <c:v>45170</c:v>
                </c:pt>
                <c:pt idx="13">
                  <c:v>45292</c:v>
                </c:pt>
                <c:pt idx="14">
                  <c:v>45413</c:v>
                </c:pt>
              </c:numCache>
            </c:numRef>
          </c:cat>
          <c:val>
            <c:numRef>
              <c:f>'Otros gráficos'!$C$141:$C$155</c:f>
              <c:numCache>
                <c:formatCode>0.0%</c:formatCode>
                <c:ptCount val="15"/>
                <c:pt idx="0">
                  <c:v>0.13489999999999999</c:v>
                </c:pt>
                <c:pt idx="1">
                  <c:v>0.13370000000000001</c:v>
                </c:pt>
                <c:pt idx="2">
                  <c:v>0.13389999999999999</c:v>
                </c:pt>
                <c:pt idx="3">
                  <c:v>0.1333</c:v>
                </c:pt>
                <c:pt idx="4">
                  <c:v>0.13239999999999999</c:v>
                </c:pt>
                <c:pt idx="5">
                  <c:v>0.13159999999999999</c:v>
                </c:pt>
                <c:pt idx="6">
                  <c:v>0.13139999999999999</c:v>
                </c:pt>
                <c:pt idx="7">
                  <c:v>0.13339999999999999</c:v>
                </c:pt>
                <c:pt idx="8">
                  <c:v>0.13350000000000001</c:v>
                </c:pt>
                <c:pt idx="9">
                  <c:v>0.13339999999999999</c:v>
                </c:pt>
                <c:pt idx="10">
                  <c:v>0.13389999999999999</c:v>
                </c:pt>
                <c:pt idx="11">
                  <c:v>0.13450000000000001</c:v>
                </c:pt>
                <c:pt idx="12">
                  <c:v>0.13819999999999999</c:v>
                </c:pt>
                <c:pt idx="13">
                  <c:v>0.13719999999999999</c:v>
                </c:pt>
                <c:pt idx="14">
                  <c:v>0.13789999999999999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F00-4D83-A630-14F434095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37248981"/>
        <c:axId val="1975940520"/>
      </c:barChart>
      <c:lineChart>
        <c:grouping val="standard"/>
        <c:varyColors val="1"/>
        <c:ser>
          <c:idx val="1"/>
          <c:order val="1"/>
          <c:tx>
            <c:strRef>
              <c:f>'Otros gráficos'!$D$139:$D$140</c:f>
              <c:strCache>
                <c:ptCount val="2"/>
                <c:pt idx="0">
                  <c:v>Pais</c:v>
                </c:pt>
                <c:pt idx="1">
                  <c:v>13.6%</c:v>
                </c:pt>
              </c:strCache>
            </c:strRef>
          </c:tx>
          <c:spPr>
            <a:ln w="44450" cmpd="sng">
              <a:solidFill>
                <a:schemeClr val="tx1"/>
              </a:solidFill>
              <a:prstDash val="solid"/>
            </a:ln>
          </c:spPr>
          <c:marker>
            <c:symbol val="none"/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1-0F00-4D83-A630-14F434095364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12-0F00-4D83-A630-14F434095364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13-0F00-4D83-A630-14F434095364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4-0F00-4D83-A630-14F434095364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5-0F00-4D83-A630-14F434095364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6-0F00-4D83-A630-14F434095364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7-0F00-4D83-A630-14F434095364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8-0F00-4D83-A630-14F434095364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9-0F00-4D83-A630-14F434095364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A-0F00-4D83-A630-14F434095364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B-0F00-4D83-A630-14F434095364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C-0F00-4D83-A630-14F434095364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1D-0F00-4D83-A630-14F434095364}"/>
              </c:ext>
            </c:extLst>
          </c:dPt>
          <c:dPt>
            <c:idx val="13"/>
            <c:bubble3D val="0"/>
            <c:extLst>
              <c:ext xmlns:c16="http://schemas.microsoft.com/office/drawing/2014/chart" uri="{C3380CC4-5D6E-409C-BE32-E72D297353CC}">
                <c16:uniqueId val="{0000001E-0F00-4D83-A630-14F434095364}"/>
              </c:ext>
            </c:extLst>
          </c:dPt>
          <c:dPt>
            <c:idx val="14"/>
            <c:bubble3D val="0"/>
            <c:extLst>
              <c:ext xmlns:c16="http://schemas.microsoft.com/office/drawing/2014/chart" uri="{C3380CC4-5D6E-409C-BE32-E72D297353CC}">
                <c16:uniqueId val="{0000001F-0F00-4D83-A630-14F434095364}"/>
              </c:ext>
            </c:extLst>
          </c:dPt>
          <c:cat>
            <c:numRef>
              <c:f>'Otros gráficos'!$B$141:$B$155</c:f>
              <c:numCache>
                <c:formatCode>mmm"-"yy</c:formatCode>
                <c:ptCount val="15"/>
                <c:pt idx="0">
                  <c:v>43709</c:v>
                </c:pt>
                <c:pt idx="1">
                  <c:v>43831</c:v>
                </c:pt>
                <c:pt idx="2">
                  <c:v>43952</c:v>
                </c:pt>
                <c:pt idx="3">
                  <c:v>44075</c:v>
                </c:pt>
                <c:pt idx="4">
                  <c:v>44197</c:v>
                </c:pt>
                <c:pt idx="5">
                  <c:v>44317</c:v>
                </c:pt>
                <c:pt idx="6">
                  <c:v>44440</c:v>
                </c:pt>
                <c:pt idx="7">
                  <c:v>44562</c:v>
                </c:pt>
                <c:pt idx="8">
                  <c:v>44682</c:v>
                </c:pt>
                <c:pt idx="9">
                  <c:v>44805</c:v>
                </c:pt>
                <c:pt idx="10">
                  <c:v>44927</c:v>
                </c:pt>
                <c:pt idx="11">
                  <c:v>45047</c:v>
                </c:pt>
                <c:pt idx="12">
                  <c:v>45170</c:v>
                </c:pt>
                <c:pt idx="13">
                  <c:v>45292</c:v>
                </c:pt>
                <c:pt idx="14">
                  <c:v>45413</c:v>
                </c:pt>
              </c:numCache>
            </c:numRef>
          </c:cat>
          <c:val>
            <c:numRef>
              <c:f>'Otros gráficos'!$D$141:$D$155</c:f>
              <c:numCache>
                <c:formatCode>0.0%</c:formatCode>
                <c:ptCount val="15"/>
                <c:pt idx="0">
                  <c:v>0.13489999999999999</c:v>
                </c:pt>
                <c:pt idx="1">
                  <c:v>0.13370000000000001</c:v>
                </c:pt>
                <c:pt idx="2">
                  <c:v>0.13389999999999999</c:v>
                </c:pt>
                <c:pt idx="3">
                  <c:v>0.1333</c:v>
                </c:pt>
                <c:pt idx="4">
                  <c:v>0.13239999999999999</c:v>
                </c:pt>
                <c:pt idx="5">
                  <c:v>0.13159999999999999</c:v>
                </c:pt>
                <c:pt idx="6">
                  <c:v>0.13139999999999999</c:v>
                </c:pt>
                <c:pt idx="7">
                  <c:v>0.13339999999999999</c:v>
                </c:pt>
                <c:pt idx="8">
                  <c:v>0.13350000000000001</c:v>
                </c:pt>
                <c:pt idx="9">
                  <c:v>0.13339999999999999</c:v>
                </c:pt>
                <c:pt idx="10">
                  <c:v>0.13389999999999999</c:v>
                </c:pt>
                <c:pt idx="11">
                  <c:v>0.13450000000000001</c:v>
                </c:pt>
                <c:pt idx="12">
                  <c:v>0.13819999999999999</c:v>
                </c:pt>
                <c:pt idx="13">
                  <c:v>0.13719999999999999</c:v>
                </c:pt>
                <c:pt idx="14">
                  <c:v>0.13789999999999999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20-0F00-4D83-A630-14F434095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7248981"/>
        <c:axId val="1975940520"/>
      </c:lineChart>
      <c:dateAx>
        <c:axId val="113724898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mmm&quot;-&quot;yy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1100" b="1">
                <a:solidFill>
                  <a:schemeClr val="dk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975940520"/>
        <c:crosses val="autoZero"/>
        <c:auto val="1"/>
        <c:lblOffset val="100"/>
        <c:baseTimeUnit val="months"/>
      </c:dateAx>
      <c:valAx>
        <c:axId val="1975940520"/>
        <c:scaling>
          <c:orientation val="minMax"/>
          <c:max val="0.14000000000000001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.00%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137248981"/>
        <c:crosses val="autoZero"/>
        <c:crossBetween val="between"/>
      </c:valAx>
      <c:spPr>
        <a:noFill/>
      </c:spPr>
    </c:plotArea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7.9130949229104769E-2"/>
          <c:y val="8.1156446353296746E-2"/>
          <c:w val="0.86126082309449814"/>
          <c:h val="0.76472175826506528"/>
        </c:manualLayout>
      </c:layout>
      <c:scatterChart>
        <c:scatterStyle val="lineMarker"/>
        <c:varyColors val="1"/>
        <c:ser>
          <c:idx val="0"/>
          <c:order val="0"/>
          <c:tx>
            <c:strRef>
              <c:f>'Otros gráficos'!$D$170</c:f>
              <c:strCache>
                <c:ptCount val="1"/>
                <c:pt idx="0">
                  <c:v>Serie 1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chemeClr val="dk1"/>
              </a:solidFill>
              <a:ln cmpd="sng">
                <a:solidFill>
                  <a:schemeClr val="dk1"/>
                </a:solidFill>
              </a:ln>
            </c:spPr>
          </c:marker>
          <c:dPt>
            <c:idx val="15"/>
            <c:marker>
              <c:spPr>
                <a:solidFill>
                  <a:schemeClr val="accent5"/>
                </a:solidFill>
                <a:ln cmpd="sng">
                  <a:solidFill>
                    <a:schemeClr val="accent5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1F62-4CCC-A402-BA299A1757D2}"/>
              </c:ext>
            </c:extLst>
          </c:dPt>
          <c:xVal>
            <c:numRef>
              <c:f>'Otros gráficos'!$B$170</c:f>
              <c:numCache>
                <c:formatCode>0.0%</c:formatCode>
                <c:ptCount val="1"/>
                <c:pt idx="0">
                  <c:v>0.6</c:v>
                </c:pt>
              </c:numCache>
            </c:numRef>
          </c:xVal>
          <c:yVal>
            <c:numRef>
              <c:f>'Otros gráficos'!$C$170</c:f>
              <c:numCache>
                <c:formatCode>0.0%</c:formatCode>
                <c:ptCount val="1"/>
                <c:pt idx="0">
                  <c:v>0.14299999999999999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62-4CCC-A402-BA299A1757D2}"/>
            </c:ext>
          </c:extLst>
        </c:ser>
        <c:ser>
          <c:idx val="1"/>
          <c:order val="1"/>
          <c:tx>
            <c:strRef>
              <c:f>'Otros gráficos'!$D$171</c:f>
              <c:strCache>
                <c:ptCount val="1"/>
                <c:pt idx="0">
                  <c:v>Serie 2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 cmpd="sng">
                <a:noFill/>
              </a:ln>
            </c:spPr>
          </c:marker>
          <c:dPt>
            <c:idx val="15"/>
            <c:bubble3D val="0"/>
            <c:extLst>
              <c:ext xmlns:c16="http://schemas.microsoft.com/office/drawing/2014/chart" uri="{C3380CC4-5D6E-409C-BE32-E72D297353CC}">
                <c16:uniqueId val="{00000002-1F62-4CCC-A402-BA299A1757D2}"/>
              </c:ext>
            </c:extLst>
          </c:dPt>
          <c:xVal>
            <c:numRef>
              <c:f>'Otros gráficos'!$B$171</c:f>
              <c:numCache>
                <c:formatCode>0.0%</c:formatCode>
                <c:ptCount val="1"/>
                <c:pt idx="0">
                  <c:v>0.63</c:v>
                </c:pt>
              </c:numCache>
            </c:numRef>
          </c:xVal>
          <c:yVal>
            <c:numRef>
              <c:f>'Otros gráficos'!$C$171</c:f>
              <c:numCache>
                <c:formatCode>0.0%</c:formatCode>
                <c:ptCount val="1"/>
                <c:pt idx="0">
                  <c:v>0.13800000000000001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62-4CCC-A402-BA299A1757D2}"/>
            </c:ext>
          </c:extLst>
        </c:ser>
        <c:ser>
          <c:idx val="2"/>
          <c:order val="2"/>
          <c:tx>
            <c:strRef>
              <c:f>'Otros gráficos'!$D$172</c:f>
              <c:strCache>
                <c:ptCount val="1"/>
                <c:pt idx="0">
                  <c:v>Serie 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gráficos'!$B$172</c:f>
              <c:numCache>
                <c:formatCode>0.0%</c:formatCode>
                <c:ptCount val="1"/>
                <c:pt idx="0">
                  <c:v>0.57999999999999996</c:v>
                </c:pt>
              </c:numCache>
            </c:numRef>
          </c:xVal>
          <c:yVal>
            <c:numRef>
              <c:f>'Otros gráficos'!$C$172</c:f>
              <c:numCache>
                <c:formatCode>0.0%</c:formatCode>
                <c:ptCount val="1"/>
                <c:pt idx="0">
                  <c:v>9.9000000000000005E-2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A0-44CF-A2FB-0EF7EFD1F6B4}"/>
            </c:ext>
          </c:extLst>
        </c:ser>
        <c:ser>
          <c:idx val="3"/>
          <c:order val="3"/>
          <c:tx>
            <c:strRef>
              <c:f>'Otros gráficos'!$D$173</c:f>
              <c:strCache>
                <c:ptCount val="1"/>
                <c:pt idx="0">
                  <c:v>Serie 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gráficos'!$B$173</c:f>
              <c:numCache>
                <c:formatCode>0.0%</c:formatCode>
                <c:ptCount val="1"/>
                <c:pt idx="0">
                  <c:v>0.66</c:v>
                </c:pt>
              </c:numCache>
            </c:numRef>
          </c:xVal>
          <c:yVal>
            <c:numRef>
              <c:f>'Otros gráficos'!$C$173</c:f>
              <c:numCache>
                <c:formatCode>0.0%</c:formatCode>
                <c:ptCount val="1"/>
                <c:pt idx="0">
                  <c:v>8.4000000000000005E-2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CA0-44CF-A2FB-0EF7EFD1F6B4}"/>
            </c:ext>
          </c:extLst>
        </c:ser>
        <c:ser>
          <c:idx val="4"/>
          <c:order val="4"/>
          <c:tx>
            <c:strRef>
              <c:f>'Otros gráficos'!$D$174</c:f>
              <c:strCache>
                <c:ptCount val="1"/>
                <c:pt idx="0">
                  <c:v>Serie 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gráficos'!$B$174</c:f>
              <c:numCache>
                <c:formatCode>0.0%</c:formatCode>
                <c:ptCount val="1"/>
                <c:pt idx="0">
                  <c:v>0.35</c:v>
                </c:pt>
              </c:numCache>
            </c:numRef>
          </c:xVal>
          <c:yVal>
            <c:numRef>
              <c:f>'Otros gráficos'!$C$174</c:f>
              <c:numCache>
                <c:formatCode>0.0%</c:formatCode>
                <c:ptCount val="1"/>
                <c:pt idx="0">
                  <c:v>2.5999999999999999E-2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A0-44CF-A2FB-0EF7EFD1F6B4}"/>
            </c:ext>
          </c:extLst>
        </c:ser>
        <c:ser>
          <c:idx val="5"/>
          <c:order val="5"/>
          <c:tx>
            <c:strRef>
              <c:f>'Otros gráficos'!$D$175</c:f>
              <c:strCache>
                <c:ptCount val="1"/>
                <c:pt idx="0">
                  <c:v>Serie 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</c:spPr>
          </c:marker>
          <c:xVal>
            <c:numRef>
              <c:f>'Otros gráficos'!$B$175</c:f>
              <c:numCache>
                <c:formatCode>0.0%</c:formatCode>
                <c:ptCount val="1"/>
                <c:pt idx="0">
                  <c:v>0.31</c:v>
                </c:pt>
              </c:numCache>
            </c:numRef>
          </c:xVal>
          <c:yVal>
            <c:numRef>
              <c:f>'Otros gráficos'!$C$175</c:f>
              <c:numCache>
                <c:formatCode>0.0%</c:formatCode>
                <c:ptCount val="1"/>
                <c:pt idx="0">
                  <c:v>7.5999999999999998E-2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CA0-44CF-A2FB-0EF7EFD1F6B4}"/>
            </c:ext>
          </c:extLst>
        </c:ser>
        <c:ser>
          <c:idx val="6"/>
          <c:order val="6"/>
          <c:tx>
            <c:strRef>
              <c:f>'Otros gráficos'!$D$176</c:f>
              <c:strCache>
                <c:ptCount val="1"/>
                <c:pt idx="0">
                  <c:v>Serie 7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gráficos'!$B$176</c:f>
              <c:numCache>
                <c:formatCode>0.0%</c:formatCode>
                <c:ptCount val="1"/>
                <c:pt idx="0">
                  <c:v>0.72</c:v>
                </c:pt>
              </c:numCache>
            </c:numRef>
          </c:xVal>
          <c:yVal>
            <c:numRef>
              <c:f>'Otros gráficos'!$C$176</c:f>
              <c:numCache>
                <c:formatCode>0.0%</c:formatCode>
                <c:ptCount val="1"/>
                <c:pt idx="0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A0-44CF-A2FB-0EF7EFD1F6B4}"/>
            </c:ext>
          </c:extLst>
        </c:ser>
        <c:ser>
          <c:idx val="7"/>
          <c:order val="7"/>
          <c:tx>
            <c:strRef>
              <c:f>'Otros gráficos'!$D$177</c:f>
              <c:strCache>
                <c:ptCount val="1"/>
                <c:pt idx="0">
                  <c:v>Serie 8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gráficos'!$B$177</c:f>
              <c:numCache>
                <c:formatCode>0.0%</c:formatCode>
                <c:ptCount val="1"/>
                <c:pt idx="0">
                  <c:v>1.04</c:v>
                </c:pt>
              </c:numCache>
            </c:numRef>
          </c:xVal>
          <c:yVal>
            <c:numRef>
              <c:f>'Otros gráficos'!$C$177</c:f>
              <c:numCache>
                <c:formatCode>0.0%</c:formatCode>
                <c:ptCount val="1"/>
                <c:pt idx="0">
                  <c:v>0.17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CA0-44CF-A2FB-0EF7EFD1F6B4}"/>
            </c:ext>
          </c:extLst>
        </c:ser>
        <c:ser>
          <c:idx val="8"/>
          <c:order val="8"/>
          <c:tx>
            <c:strRef>
              <c:f>'Otros gráficos'!$D$178</c:f>
              <c:strCache>
                <c:ptCount val="1"/>
                <c:pt idx="0">
                  <c:v>Serie 9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gráficos'!$B$178</c:f>
              <c:numCache>
                <c:formatCode>0.0%</c:formatCode>
                <c:ptCount val="1"/>
                <c:pt idx="0">
                  <c:v>0.33</c:v>
                </c:pt>
              </c:numCache>
            </c:numRef>
          </c:xVal>
          <c:yVal>
            <c:numRef>
              <c:f>'Otros gráficos'!$C$178</c:f>
              <c:numCache>
                <c:formatCode>0.0%</c:formatCode>
                <c:ptCount val="1"/>
                <c:pt idx="0">
                  <c:v>-0.02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A0-44CF-A2FB-0EF7EFD1F6B4}"/>
            </c:ext>
          </c:extLst>
        </c:ser>
        <c:ser>
          <c:idx val="9"/>
          <c:order val="9"/>
          <c:tx>
            <c:strRef>
              <c:f>'Otros gráficos'!$D$179</c:f>
              <c:strCache>
                <c:ptCount val="1"/>
                <c:pt idx="0">
                  <c:v>Serie 10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gráficos'!$B$179</c:f>
              <c:numCache>
                <c:formatCode>0.0%</c:formatCode>
                <c:ptCount val="1"/>
                <c:pt idx="0">
                  <c:v>0.32</c:v>
                </c:pt>
              </c:numCache>
            </c:numRef>
          </c:xVal>
          <c:yVal>
            <c:numRef>
              <c:f>'Otros gráficos'!$C$179</c:f>
              <c:numCache>
                <c:formatCode>0.0%</c:formatCode>
                <c:ptCount val="1"/>
                <c:pt idx="0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CA0-44CF-A2FB-0EF7EFD1F6B4}"/>
            </c:ext>
          </c:extLst>
        </c:ser>
        <c:ser>
          <c:idx val="10"/>
          <c:order val="10"/>
          <c:tx>
            <c:strRef>
              <c:f>'Otros gráficos'!$D$180</c:f>
              <c:strCache>
                <c:ptCount val="1"/>
                <c:pt idx="0">
                  <c:v>Serie 11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gráficos'!$B$180</c:f>
              <c:numCache>
                <c:formatCode>0.0%</c:formatCode>
                <c:ptCount val="1"/>
                <c:pt idx="0">
                  <c:v>0.34</c:v>
                </c:pt>
              </c:numCache>
            </c:numRef>
          </c:xVal>
          <c:yVal>
            <c:numRef>
              <c:f>'Otros gráficos'!$C$180</c:f>
              <c:numCache>
                <c:formatCode>0.0%</c:formatCode>
                <c:ptCount val="1"/>
                <c:pt idx="0">
                  <c:v>5.8000000000000003E-2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CA0-44CF-A2FB-0EF7EFD1F6B4}"/>
            </c:ext>
          </c:extLst>
        </c:ser>
        <c:ser>
          <c:idx val="11"/>
          <c:order val="11"/>
          <c:tx>
            <c:strRef>
              <c:f>'Otros gráficos'!$D$181</c:f>
              <c:strCache>
                <c:ptCount val="1"/>
                <c:pt idx="0">
                  <c:v>Serie 12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gráficos'!$B$181</c:f>
              <c:numCache>
                <c:formatCode>0.0%</c:formatCode>
                <c:ptCount val="1"/>
                <c:pt idx="0">
                  <c:v>0.88</c:v>
                </c:pt>
              </c:numCache>
            </c:numRef>
          </c:xVal>
          <c:yVal>
            <c:numRef>
              <c:f>'Otros gráficos'!$C$181</c:f>
              <c:numCache>
                <c:formatCode>0.0%</c:formatCode>
                <c:ptCount val="1"/>
                <c:pt idx="0">
                  <c:v>0.10100000000000001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CA0-44CF-A2FB-0EF7EFD1F6B4}"/>
            </c:ext>
          </c:extLst>
        </c:ser>
        <c:ser>
          <c:idx val="12"/>
          <c:order val="12"/>
          <c:tx>
            <c:strRef>
              <c:f>'Otros gráficos'!$D$182</c:f>
              <c:strCache>
                <c:ptCount val="1"/>
                <c:pt idx="0">
                  <c:v>Serie 13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gráficos'!$B$182</c:f>
              <c:numCache>
                <c:formatCode>0.0%</c:formatCode>
                <c:ptCount val="1"/>
                <c:pt idx="0">
                  <c:v>0.81</c:v>
                </c:pt>
              </c:numCache>
            </c:numRef>
          </c:xVal>
          <c:yVal>
            <c:numRef>
              <c:f>'Otros gráficos'!$C$182</c:f>
              <c:numCache>
                <c:formatCode>0.0%</c:formatCode>
                <c:ptCount val="1"/>
                <c:pt idx="0">
                  <c:v>0.11899999999999999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CA0-44CF-A2FB-0EF7EFD1F6B4}"/>
            </c:ext>
          </c:extLst>
        </c:ser>
        <c:ser>
          <c:idx val="13"/>
          <c:order val="13"/>
          <c:tx>
            <c:strRef>
              <c:f>'Otros gráficos'!$D$183</c:f>
              <c:strCache>
                <c:ptCount val="1"/>
                <c:pt idx="0">
                  <c:v>Serie 14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gráficos'!$B$183</c:f>
              <c:numCache>
                <c:formatCode>0.0%</c:formatCode>
                <c:ptCount val="1"/>
                <c:pt idx="0">
                  <c:v>0.51</c:v>
                </c:pt>
              </c:numCache>
            </c:numRef>
          </c:xVal>
          <c:yVal>
            <c:numRef>
              <c:f>'Otros gráficos'!$C$183</c:f>
              <c:numCache>
                <c:formatCode>0.0%</c:formatCode>
                <c:ptCount val="1"/>
                <c:pt idx="0">
                  <c:v>0.107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CA0-44CF-A2FB-0EF7EFD1F6B4}"/>
            </c:ext>
          </c:extLst>
        </c:ser>
        <c:ser>
          <c:idx val="14"/>
          <c:order val="14"/>
          <c:tx>
            <c:strRef>
              <c:f>'Otros gráficos'!$D$184</c:f>
              <c:strCache>
                <c:ptCount val="1"/>
                <c:pt idx="0">
                  <c:v>Serie 15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gráficos'!$B$184</c:f>
              <c:numCache>
                <c:formatCode>0.0%</c:formatCode>
                <c:ptCount val="1"/>
                <c:pt idx="0">
                  <c:v>0.67</c:v>
                </c:pt>
              </c:numCache>
            </c:numRef>
          </c:xVal>
          <c:yVal>
            <c:numRef>
              <c:f>'Otros gráficos'!$C$184</c:f>
              <c:numCache>
                <c:formatCode>0.0%</c:formatCode>
                <c:ptCount val="1"/>
                <c:pt idx="0">
                  <c:v>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CA0-44CF-A2FB-0EF7EFD1F6B4}"/>
            </c:ext>
          </c:extLst>
        </c:ser>
        <c:ser>
          <c:idx val="15"/>
          <c:order val="15"/>
          <c:tx>
            <c:strRef>
              <c:f>'Otros gráficos'!$D$185</c:f>
              <c:strCache>
                <c:ptCount val="1"/>
                <c:pt idx="0">
                  <c:v>Serie 16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'Otros gráficos'!$B$185</c:f>
              <c:numCache>
                <c:formatCode>0.0%</c:formatCode>
                <c:ptCount val="1"/>
                <c:pt idx="0">
                  <c:v>0.57999999999999996</c:v>
                </c:pt>
              </c:numCache>
            </c:numRef>
          </c:xVal>
          <c:yVal>
            <c:numRef>
              <c:f>'Otros gráficos'!$C$185</c:f>
              <c:numCache>
                <c:formatCode>0.0%</c:formatCode>
                <c:ptCount val="1"/>
                <c:pt idx="0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CA0-44CF-A2FB-0EF7EFD1F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7481257"/>
        <c:axId val="1153531276"/>
      </c:scatterChart>
      <c:valAx>
        <c:axId val="1007481257"/>
        <c:scaling>
          <c:orientation val="minMax"/>
        </c:scaling>
        <c:delete val="0"/>
        <c:axPos val="b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.0%" sourceLinked="1"/>
        <c:majorTickMark val="none"/>
        <c:minorTickMark val="none"/>
        <c:tickLblPos val="low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153531276"/>
        <c:crosses val="autoZero"/>
        <c:crossBetween val="midCat"/>
      </c:valAx>
      <c:valAx>
        <c:axId val="1153531276"/>
        <c:scaling>
          <c:orientation val="minMax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007481257"/>
        <c:crosses val="autoZero"/>
        <c:crossBetween val="midCat"/>
      </c:valAx>
      <c:spPr>
        <a:noFill/>
      </c:spPr>
    </c:plotArea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xMode val="edge"/>
          <c:yMode val="edge"/>
          <c:x val="6.3432835820895525E-2"/>
          <c:y val="6.7023644351948228E-2"/>
          <c:w val="0.90619863170615667"/>
          <c:h val="0.81933999201168817"/>
        </c:manualLayout>
      </c:layout>
      <c:bubbleChart>
        <c:varyColors val="1"/>
        <c:ser>
          <c:idx val="0"/>
          <c:order val="0"/>
          <c:tx>
            <c:strRef>
              <c:f>'Otros gráficos'!$D$170</c:f>
              <c:strCache>
                <c:ptCount val="1"/>
                <c:pt idx="0">
                  <c:v>Serie 1</c:v>
                </c:pt>
              </c:strCache>
            </c:strRef>
          </c:tx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gráficos'!$B$170</c:f>
              <c:numCache>
                <c:formatCode>0.0%</c:formatCode>
                <c:ptCount val="1"/>
                <c:pt idx="0">
                  <c:v>0.6</c:v>
                </c:pt>
              </c:numCache>
            </c:numRef>
          </c:xVal>
          <c:yVal>
            <c:numRef>
              <c:f>'Otros gráficos'!$C$170</c:f>
              <c:numCache>
                <c:formatCode>0.0%</c:formatCode>
                <c:ptCount val="1"/>
                <c:pt idx="0">
                  <c:v>0.14299999999999999</c:v>
                </c:pt>
              </c:numCache>
            </c:numRef>
          </c:yVal>
          <c:bubbleSize>
            <c:numRef>
              <c:f>'Otros gráficos'!$A$170</c:f>
              <c:numCache>
                <c:formatCode>General</c:formatCode>
                <c:ptCount val="1"/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903A-472F-91F7-E1D2B3BAFDBE}"/>
            </c:ext>
          </c:extLst>
        </c:ser>
        <c:ser>
          <c:idx val="1"/>
          <c:order val="1"/>
          <c:tx>
            <c:strRef>
              <c:f>'Otros gráficos'!$D$171</c:f>
              <c:strCache>
                <c:ptCount val="1"/>
                <c:pt idx="0">
                  <c:v>Serie 2</c:v>
                </c:pt>
              </c:strCache>
            </c:strRef>
          </c:tx>
          <c:spPr>
            <a:solidFill>
              <a:srgbClr val="85C8FF">
                <a:alpha val="70196"/>
              </a:srgbClr>
            </a:solidFill>
            <a:ln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gráficos'!$B$171</c:f>
              <c:numCache>
                <c:formatCode>0.0%</c:formatCode>
                <c:ptCount val="1"/>
                <c:pt idx="0">
                  <c:v>0.63</c:v>
                </c:pt>
              </c:numCache>
            </c:numRef>
          </c:xVal>
          <c:yVal>
            <c:numRef>
              <c:f>'Otros gráficos'!$C$171</c:f>
              <c:numCache>
                <c:formatCode>0.0%</c:formatCode>
                <c:ptCount val="1"/>
                <c:pt idx="0">
                  <c:v>0.13800000000000001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1-903A-472F-91F7-E1D2B3BAFDBE}"/>
            </c:ext>
          </c:extLst>
        </c:ser>
        <c:ser>
          <c:idx val="2"/>
          <c:order val="2"/>
          <c:tx>
            <c:strRef>
              <c:f>'Otros gráficos'!$D$172</c:f>
              <c:strCache>
                <c:ptCount val="1"/>
                <c:pt idx="0">
                  <c:v>Serie 3</c:v>
                </c:pt>
              </c:strCache>
            </c:strRef>
          </c:tx>
          <c:spPr>
            <a:solidFill>
              <a:srgbClr val="88E783">
                <a:alpha val="76863"/>
              </a:srgbClr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gráficos'!$B$172</c:f>
              <c:numCache>
                <c:formatCode>0.0%</c:formatCode>
                <c:ptCount val="1"/>
                <c:pt idx="0">
                  <c:v>0.57999999999999996</c:v>
                </c:pt>
              </c:numCache>
            </c:numRef>
          </c:xVal>
          <c:yVal>
            <c:numRef>
              <c:f>'Otros gráficos'!$C$172</c:f>
              <c:numCache>
                <c:formatCode>0.0%</c:formatCode>
                <c:ptCount val="1"/>
                <c:pt idx="0">
                  <c:v>9.9000000000000005E-2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2-903A-472F-91F7-E1D2B3BAFDBE}"/>
            </c:ext>
          </c:extLst>
        </c:ser>
        <c:ser>
          <c:idx val="3"/>
          <c:order val="3"/>
          <c:tx>
            <c:strRef>
              <c:f>'Otros gráficos'!$D$173</c:f>
              <c:strCache>
                <c:ptCount val="1"/>
                <c:pt idx="0">
                  <c:v>Serie 4</c:v>
                </c:pt>
              </c:strCache>
            </c:strRef>
          </c:tx>
          <c:spPr>
            <a:solidFill>
              <a:srgbClr val="FFB56B">
                <a:alpha val="81176"/>
              </a:srgbClr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gráficos'!$B$173</c:f>
              <c:numCache>
                <c:formatCode>0.0%</c:formatCode>
                <c:ptCount val="1"/>
                <c:pt idx="0">
                  <c:v>0.66</c:v>
                </c:pt>
              </c:numCache>
            </c:numRef>
          </c:xVal>
          <c:yVal>
            <c:numRef>
              <c:f>'Otros gráficos'!$C$173</c:f>
              <c:numCache>
                <c:formatCode>0.0%</c:formatCode>
                <c:ptCount val="1"/>
                <c:pt idx="0">
                  <c:v>8.4000000000000005E-2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3-903A-472F-91F7-E1D2B3BAFDBE}"/>
            </c:ext>
          </c:extLst>
        </c:ser>
        <c:ser>
          <c:idx val="4"/>
          <c:order val="4"/>
          <c:tx>
            <c:strRef>
              <c:f>'Otros gráficos'!$D$174</c:f>
              <c:strCache>
                <c:ptCount val="1"/>
                <c:pt idx="0">
                  <c:v>Serie 5</c:v>
                </c:pt>
              </c:strCache>
            </c:strRef>
          </c:tx>
          <c:spPr>
            <a:solidFill>
              <a:srgbClr val="FFE761">
                <a:alpha val="95686"/>
              </a:srgbClr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gráficos'!$B$174</c:f>
              <c:numCache>
                <c:formatCode>0.0%</c:formatCode>
                <c:ptCount val="1"/>
                <c:pt idx="0">
                  <c:v>0.35</c:v>
                </c:pt>
              </c:numCache>
            </c:numRef>
          </c:xVal>
          <c:yVal>
            <c:numRef>
              <c:f>'Otros gráficos'!$C$174</c:f>
              <c:numCache>
                <c:formatCode>0.0%</c:formatCode>
                <c:ptCount val="1"/>
                <c:pt idx="0">
                  <c:v>2.5999999999999999E-2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4-903A-472F-91F7-E1D2B3BAFDBE}"/>
            </c:ext>
          </c:extLst>
        </c:ser>
        <c:ser>
          <c:idx val="5"/>
          <c:order val="5"/>
          <c:tx>
            <c:strRef>
              <c:f>'Otros gráficos'!$D$175</c:f>
              <c:strCache>
                <c:ptCount val="1"/>
                <c:pt idx="0">
                  <c:v>Serie 6</c:v>
                </c:pt>
              </c:strCache>
            </c:strRef>
          </c:tx>
          <c:spPr>
            <a:solidFill>
              <a:srgbClr val="8BE1E9">
                <a:alpha val="63922"/>
              </a:srgbClr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gráficos'!$B$175</c:f>
              <c:numCache>
                <c:formatCode>0.0%</c:formatCode>
                <c:ptCount val="1"/>
                <c:pt idx="0">
                  <c:v>0.31</c:v>
                </c:pt>
              </c:numCache>
            </c:numRef>
          </c:xVal>
          <c:yVal>
            <c:numRef>
              <c:f>'Otros gráficos'!$C$175</c:f>
              <c:numCache>
                <c:formatCode>0.0%</c:formatCode>
                <c:ptCount val="1"/>
                <c:pt idx="0">
                  <c:v>7.5999999999999998E-2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5-903A-472F-91F7-E1D2B3BAFDBE}"/>
            </c:ext>
          </c:extLst>
        </c:ser>
        <c:ser>
          <c:idx val="6"/>
          <c:order val="6"/>
          <c:tx>
            <c:strRef>
              <c:f>'Otros gráficos'!$D$176</c:f>
              <c:strCache>
                <c:ptCount val="1"/>
                <c:pt idx="0">
                  <c:v>Serie 7</c:v>
                </c:pt>
              </c:strCache>
            </c:strRef>
          </c:tx>
          <c:spPr>
            <a:solidFill>
              <a:srgbClr val="9694FF">
                <a:alpha val="73333"/>
              </a:srgbClr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gráficos'!$B$176</c:f>
              <c:numCache>
                <c:formatCode>0.0%</c:formatCode>
                <c:ptCount val="1"/>
                <c:pt idx="0">
                  <c:v>0.72</c:v>
                </c:pt>
              </c:numCache>
            </c:numRef>
          </c:xVal>
          <c:yVal>
            <c:numRef>
              <c:f>'Otros gráficos'!$C$176</c:f>
              <c:numCache>
                <c:formatCode>0.0%</c:formatCode>
                <c:ptCount val="1"/>
                <c:pt idx="0">
                  <c:v>8.6999999999999994E-2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6-903A-472F-91F7-E1D2B3BAFDBE}"/>
            </c:ext>
          </c:extLst>
        </c:ser>
        <c:ser>
          <c:idx val="7"/>
          <c:order val="7"/>
          <c:tx>
            <c:strRef>
              <c:f>'Otros gráficos'!$D$177</c:f>
              <c:strCache>
                <c:ptCount val="1"/>
                <c:pt idx="0">
                  <c:v>Serie 8</c:v>
                </c:pt>
              </c:strCache>
            </c:strRef>
          </c:tx>
          <c:spPr>
            <a:solidFill>
              <a:srgbClr val="ADB8C2">
                <a:alpha val="70196"/>
              </a:srgbClr>
            </a:solidFill>
            <a:ln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gráficos'!$B$177</c:f>
              <c:numCache>
                <c:formatCode>0.0%</c:formatCode>
                <c:ptCount val="1"/>
                <c:pt idx="0">
                  <c:v>1.04</c:v>
                </c:pt>
              </c:numCache>
            </c:numRef>
          </c:xVal>
          <c:yVal>
            <c:numRef>
              <c:f>'Otros gráficos'!$C$177</c:f>
              <c:numCache>
                <c:formatCode>0.0%</c:formatCode>
                <c:ptCount val="1"/>
                <c:pt idx="0">
                  <c:v>0.17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7-903A-472F-91F7-E1D2B3BAFDBE}"/>
            </c:ext>
          </c:extLst>
        </c:ser>
        <c:ser>
          <c:idx val="8"/>
          <c:order val="8"/>
          <c:tx>
            <c:strRef>
              <c:f>'Otros gráficos'!$D$178</c:f>
              <c:strCache>
                <c:ptCount val="1"/>
                <c:pt idx="0">
                  <c:v>Serie 9</c:v>
                </c:pt>
              </c:strCache>
            </c:strRef>
          </c:tx>
          <c:spPr>
            <a:solidFill>
              <a:srgbClr val="FF8585">
                <a:alpha val="70196"/>
              </a:srgbClr>
            </a:solidFill>
            <a:ln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gráficos'!$B$178</c:f>
              <c:numCache>
                <c:formatCode>0.0%</c:formatCode>
                <c:ptCount val="1"/>
                <c:pt idx="0">
                  <c:v>0.33</c:v>
                </c:pt>
              </c:numCache>
            </c:numRef>
          </c:xVal>
          <c:yVal>
            <c:numRef>
              <c:f>'Otros gráficos'!$C$178</c:f>
              <c:numCache>
                <c:formatCode>0.0%</c:formatCode>
                <c:ptCount val="1"/>
                <c:pt idx="0">
                  <c:v>-0.02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903A-472F-91F7-E1D2B3BAFDBE}"/>
            </c:ext>
          </c:extLst>
        </c:ser>
        <c:ser>
          <c:idx val="9"/>
          <c:order val="9"/>
          <c:tx>
            <c:strRef>
              <c:f>'Otros gráficos'!$D$179</c:f>
              <c:strCache>
                <c:ptCount val="1"/>
                <c:pt idx="0">
                  <c:v>Serie 10</c:v>
                </c:pt>
              </c:strCache>
            </c:strRef>
          </c:tx>
          <c:spPr>
            <a:solidFill>
              <a:srgbClr val="108C97"/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gráficos'!$B$179</c:f>
              <c:numCache>
                <c:formatCode>0.0%</c:formatCode>
                <c:ptCount val="1"/>
                <c:pt idx="0">
                  <c:v>0.32</c:v>
                </c:pt>
              </c:numCache>
            </c:numRef>
          </c:xVal>
          <c:yVal>
            <c:numRef>
              <c:f>'Otros gráficos'!$C$179</c:f>
              <c:numCache>
                <c:formatCode>0.0%</c:formatCode>
                <c:ptCount val="1"/>
                <c:pt idx="0">
                  <c:v>0.08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9-903A-472F-91F7-E1D2B3BAFDBE}"/>
            </c:ext>
          </c:extLst>
        </c:ser>
        <c:ser>
          <c:idx val="10"/>
          <c:order val="10"/>
          <c:tx>
            <c:strRef>
              <c:f>'Otros gráficos'!$D$180</c:f>
              <c:strCache>
                <c:ptCount val="1"/>
                <c:pt idx="0">
                  <c:v>Serie 11</c:v>
                </c:pt>
              </c:strCache>
            </c:strRef>
          </c:tx>
          <c:spPr>
            <a:solidFill>
              <a:srgbClr val="FFC552">
                <a:alpha val="81176"/>
              </a:srgbClr>
            </a:solidFill>
            <a:ln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gráficos'!$B$180</c:f>
              <c:numCache>
                <c:formatCode>0.0%</c:formatCode>
                <c:ptCount val="1"/>
                <c:pt idx="0">
                  <c:v>0.34</c:v>
                </c:pt>
              </c:numCache>
            </c:numRef>
          </c:xVal>
          <c:yVal>
            <c:numRef>
              <c:f>'Otros gráficos'!$C$180</c:f>
              <c:numCache>
                <c:formatCode>0.0%</c:formatCode>
                <c:ptCount val="1"/>
                <c:pt idx="0">
                  <c:v>5.8000000000000003E-2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A-903A-472F-91F7-E1D2B3BAFDBE}"/>
            </c:ext>
          </c:extLst>
        </c:ser>
        <c:ser>
          <c:idx val="11"/>
          <c:order val="11"/>
          <c:tx>
            <c:strRef>
              <c:f>'Otros gráficos'!$D$181</c:f>
              <c:strCache>
                <c:ptCount val="1"/>
                <c:pt idx="0">
                  <c:v>Serie 12</c:v>
                </c:pt>
              </c:strCache>
            </c:strRef>
          </c:tx>
          <c:spPr>
            <a:solidFill>
              <a:srgbClr val="024700">
                <a:alpha val="70196"/>
              </a:srgbClr>
            </a:solidFill>
          </c:spPr>
          <c:invertIfNegative val="1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es-E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CE9F-4286-AC27-683CCB7CB01D}"/>
                </c:ext>
              </c:extLst>
            </c:dLbl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gráficos'!$B$181</c:f>
              <c:numCache>
                <c:formatCode>0.0%</c:formatCode>
                <c:ptCount val="1"/>
                <c:pt idx="0">
                  <c:v>0.88</c:v>
                </c:pt>
              </c:numCache>
            </c:numRef>
          </c:xVal>
          <c:yVal>
            <c:numRef>
              <c:f>'Otros gráficos'!$C$181</c:f>
              <c:numCache>
                <c:formatCode>0.0%</c:formatCode>
                <c:ptCount val="1"/>
                <c:pt idx="0">
                  <c:v>0.10100000000000001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B-903A-472F-91F7-E1D2B3BAFDBE}"/>
            </c:ext>
          </c:extLst>
        </c:ser>
        <c:ser>
          <c:idx val="12"/>
          <c:order val="12"/>
          <c:tx>
            <c:strRef>
              <c:f>'Otros gráficos'!$D$182</c:f>
              <c:strCache>
                <c:ptCount val="1"/>
                <c:pt idx="0">
                  <c:v>Serie 13</c:v>
                </c:pt>
              </c:strCache>
            </c:strRef>
          </c:tx>
          <c:spPr>
            <a:solidFill>
              <a:srgbClr val="CAD1D8">
                <a:alpha val="70196"/>
              </a:srgbClr>
            </a:solidFill>
            <a:ln>
              <a:noFill/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gráficos'!$B$182</c:f>
              <c:numCache>
                <c:formatCode>0.0%</c:formatCode>
                <c:ptCount val="1"/>
                <c:pt idx="0">
                  <c:v>0.81</c:v>
                </c:pt>
              </c:numCache>
            </c:numRef>
          </c:xVal>
          <c:yVal>
            <c:numRef>
              <c:f>'Otros gráficos'!$C$182</c:f>
              <c:numCache>
                <c:formatCode>0.0%</c:formatCode>
                <c:ptCount val="1"/>
                <c:pt idx="0">
                  <c:v>0.11899999999999999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C-903A-472F-91F7-E1D2B3BAFDBE}"/>
            </c:ext>
          </c:extLst>
        </c:ser>
        <c:ser>
          <c:idx val="13"/>
          <c:order val="13"/>
          <c:tx>
            <c:strRef>
              <c:f>'Otros gráficos'!$D$183</c:f>
              <c:strCache>
                <c:ptCount val="1"/>
                <c:pt idx="0">
                  <c:v>Serie 14</c:v>
                </c:pt>
              </c:strCache>
            </c:strRef>
          </c:tx>
          <c:spPr>
            <a:solidFill>
              <a:srgbClr val="B98409">
                <a:alpha val="70588"/>
              </a:srgbClr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gráficos'!$B$183</c:f>
              <c:numCache>
                <c:formatCode>0.0%</c:formatCode>
                <c:ptCount val="1"/>
                <c:pt idx="0">
                  <c:v>0.51</c:v>
                </c:pt>
              </c:numCache>
            </c:numRef>
          </c:xVal>
          <c:yVal>
            <c:numRef>
              <c:f>'Otros gráficos'!$C$183</c:f>
              <c:numCache>
                <c:formatCode>0.0%</c:formatCode>
                <c:ptCount val="1"/>
                <c:pt idx="0">
                  <c:v>0.107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D-903A-472F-91F7-E1D2B3BAFDBE}"/>
            </c:ext>
          </c:extLst>
        </c:ser>
        <c:ser>
          <c:idx val="14"/>
          <c:order val="14"/>
          <c:tx>
            <c:strRef>
              <c:f>'Otros gráficos'!$D$184</c:f>
              <c:strCache>
                <c:ptCount val="1"/>
                <c:pt idx="0">
                  <c:v>Serie 15</c:v>
                </c:pt>
              </c:strCache>
            </c:strRef>
          </c:tx>
          <c:spPr>
            <a:solidFill>
              <a:srgbClr val="C30909">
                <a:alpha val="70196"/>
              </a:srgbClr>
            </a:solidFill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E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'Otros gráficos'!$B$184</c:f>
              <c:numCache>
                <c:formatCode>0.0%</c:formatCode>
                <c:ptCount val="1"/>
                <c:pt idx="0">
                  <c:v>0.67</c:v>
                </c:pt>
              </c:numCache>
            </c:numRef>
          </c:xVal>
          <c:yVal>
            <c:numRef>
              <c:f>'Otros gráficos'!$C$184</c:f>
              <c:numCache>
                <c:formatCode>0.0%</c:formatCode>
                <c:ptCount val="1"/>
                <c:pt idx="0">
                  <c:v>0.13</c:v>
                </c:pt>
              </c:numCache>
            </c:numRef>
          </c:yVal>
          <c:bubbleSize>
            <c:numLit>
              <c:formatCode>General</c:formatCode>
              <c:ptCount val="1"/>
              <c:pt idx="0">
                <c:v>1</c:v>
              </c:pt>
            </c:numLit>
          </c:bubbleSize>
          <c:bubble3D val="0"/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</c14:spPr>
              </c14:invertSolidFillFmt>
            </c:ext>
            <c:ext xmlns:c16="http://schemas.microsoft.com/office/drawing/2014/chart" uri="{C3380CC4-5D6E-409C-BE32-E72D297353CC}">
              <c16:uniqueId val="{0000000E-903A-472F-91F7-E1D2B3BAFD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50"/>
        <c:showNegBubbles val="1"/>
        <c:axId val="1534725775"/>
        <c:axId val="743405841"/>
      </c:bubbleChart>
      <c:valAx>
        <c:axId val="1534725775"/>
        <c:scaling>
          <c:orientation val="minMax"/>
          <c:max val="1.1000000000000001"/>
          <c:min val="0.25"/>
        </c:scaling>
        <c:delete val="0"/>
        <c:axPos val="b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.0%" sourceLinked="1"/>
        <c:majorTickMark val="none"/>
        <c:minorTickMark val="none"/>
        <c:tickLblPos val="low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743405841"/>
        <c:crosses val="autoZero"/>
        <c:crossBetween val="midCat"/>
        <c:majorUnit val="0.25"/>
      </c:valAx>
      <c:valAx>
        <c:axId val="743405841"/>
        <c:scaling>
          <c:orientation val="minMax"/>
          <c:max val="0.2"/>
          <c:min val="-5.000000000000001E-2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534725775"/>
        <c:crosses val="autoZero"/>
        <c:crossBetween val="midCat"/>
        <c:majorUnit val="5.000000000000001E-2"/>
      </c:valAx>
      <c:spPr>
        <a:noFill/>
        <a:ln w="6350">
          <a:solidFill>
            <a:srgbClr val="E2E6EA"/>
          </a:solidFill>
        </a:ln>
      </c:spPr>
    </c:plotArea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0.1061601001532267"/>
          <c:y val="8.601457426517338E-2"/>
          <c:w val="0.80702909373897314"/>
          <c:h val="0.66108019106307359"/>
        </c:manualLayout>
      </c:layout>
      <c:areaChart>
        <c:grouping val="standard"/>
        <c:varyColors val="1"/>
        <c:ser>
          <c:idx val="1"/>
          <c:order val="1"/>
          <c:tx>
            <c:strRef>
              <c:f>'Otros gráficos'!$D$42</c:f>
              <c:strCache>
                <c:ptCount val="1"/>
              </c:strCache>
            </c:strRef>
          </c:tx>
          <c:spPr>
            <a:solidFill>
              <a:schemeClr val="accent1">
                <a:alpha val="28000"/>
              </a:schemeClr>
            </a:solidFill>
            <a:ln w="44450">
              <a:noFill/>
            </a:ln>
          </c:spPr>
          <c:cat>
            <c:numRef>
              <c:f>'Otros gráficos'!$B$43:$B$48</c:f>
              <c:numCache>
                <c:formatCode>General</c:formatCode>
                <c:ptCount val="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</c:numCache>
            </c:numRef>
          </c:cat>
          <c:val>
            <c:numRef>
              <c:f>'Otros gráficos'!$D$43:$D$48</c:f>
              <c:numCache>
                <c:formatCode>0%</c:formatCode>
                <c:ptCount val="6"/>
                <c:pt idx="0">
                  <c:v>0.4</c:v>
                </c:pt>
                <c:pt idx="1">
                  <c:v>0.3</c:v>
                </c:pt>
                <c:pt idx="2">
                  <c:v>0.28999999999999998</c:v>
                </c:pt>
                <c:pt idx="3">
                  <c:v>0.3</c:v>
                </c:pt>
                <c:pt idx="4">
                  <c:v>0.28000000000000003</c:v>
                </c:pt>
                <c:pt idx="5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E1B-4EA0-B903-BFFBF26A767C}"/>
            </c:ext>
          </c:extLst>
        </c:ser>
        <c:ser>
          <c:idx val="3"/>
          <c:order val="3"/>
          <c:tx>
            <c:strRef>
              <c:f>'Otros gráficos'!$F$42</c:f>
              <c:strCache>
                <c:ptCount val="1"/>
              </c:strCache>
            </c:strRef>
          </c:tx>
          <c:spPr>
            <a:solidFill>
              <a:schemeClr val="tx2">
                <a:alpha val="14000"/>
              </a:schemeClr>
            </a:solidFill>
          </c:spPr>
          <c:cat>
            <c:numRef>
              <c:f>'Otros gráficos'!$B$43:$B$48</c:f>
              <c:numCache>
                <c:formatCode>General</c:formatCode>
                <c:ptCount val="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</c:numCache>
            </c:numRef>
          </c:cat>
          <c:val>
            <c:numRef>
              <c:f>'Otros gráficos'!$F$43:$F$48</c:f>
              <c:numCache>
                <c:formatCode>0%</c:formatCode>
                <c:ptCount val="6"/>
                <c:pt idx="0">
                  <c:v>0.09</c:v>
                </c:pt>
                <c:pt idx="1">
                  <c:v>0.09</c:v>
                </c:pt>
                <c:pt idx="2">
                  <c:v>0.11</c:v>
                </c:pt>
                <c:pt idx="3">
                  <c:v>0.22</c:v>
                </c:pt>
                <c:pt idx="4">
                  <c:v>0.27</c:v>
                </c:pt>
                <c:pt idx="5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E1B-4EA0-B903-BFFBF26A7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0493268"/>
        <c:axId val="531704516"/>
      </c:areaChart>
      <c:lineChart>
        <c:grouping val="standard"/>
        <c:varyColors val="1"/>
        <c:ser>
          <c:idx val="0"/>
          <c:order val="0"/>
          <c:tx>
            <c:strRef>
              <c:f>'Otros gráficos'!$C$42</c:f>
              <c:strCache>
                <c:ptCount val="1"/>
                <c:pt idx="0">
                  <c:v>Serie 1</c:v>
                </c:pt>
              </c:strCache>
            </c:strRef>
          </c:tx>
          <c:spPr>
            <a:ln w="44450"/>
          </c:spPr>
          <c:marker>
            <c:symbol val="none"/>
          </c:marker>
          <c:cat>
            <c:numRef>
              <c:f>'Otros gráficos'!$B$43:$B$48</c:f>
              <c:numCache>
                <c:formatCode>General</c:formatCode>
                <c:ptCount val="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</c:numCache>
            </c:numRef>
          </c:cat>
          <c:val>
            <c:numRef>
              <c:f>'Otros gráficos'!$C$43:$C$48</c:f>
              <c:numCache>
                <c:formatCode>0%</c:formatCode>
                <c:ptCount val="6"/>
                <c:pt idx="0">
                  <c:v>0.4</c:v>
                </c:pt>
                <c:pt idx="1">
                  <c:v>0.3</c:v>
                </c:pt>
                <c:pt idx="2">
                  <c:v>0.28999999999999998</c:v>
                </c:pt>
                <c:pt idx="3">
                  <c:v>0.3</c:v>
                </c:pt>
                <c:pt idx="4">
                  <c:v>0.28000000000000003</c:v>
                </c:pt>
                <c:pt idx="5">
                  <c:v>0.24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1E1B-4EA0-B903-BFFBF26A767C}"/>
            </c:ext>
          </c:extLst>
        </c:ser>
        <c:ser>
          <c:idx val="2"/>
          <c:order val="2"/>
          <c:tx>
            <c:strRef>
              <c:f>'Otros gráficos'!$E$42</c:f>
              <c:strCache>
                <c:ptCount val="1"/>
                <c:pt idx="0">
                  <c:v>Serie 2</c:v>
                </c:pt>
              </c:strCache>
            </c:strRef>
          </c:tx>
          <c:spPr>
            <a:ln w="44450">
              <a:solidFill>
                <a:schemeClr val="tx1"/>
              </a:solidFill>
            </a:ln>
          </c:spPr>
          <c:marker>
            <c:symbol val="none"/>
          </c:marker>
          <c:cat>
            <c:numRef>
              <c:f>'Otros gráficos'!$B$43:$B$48</c:f>
              <c:numCache>
                <c:formatCode>General</c:formatCode>
                <c:ptCount val="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</c:numCache>
            </c:numRef>
          </c:cat>
          <c:val>
            <c:numRef>
              <c:f>'Otros gráficos'!$E$43:$E$48</c:f>
              <c:numCache>
                <c:formatCode>0%</c:formatCode>
                <c:ptCount val="6"/>
                <c:pt idx="0">
                  <c:v>0.09</c:v>
                </c:pt>
                <c:pt idx="1">
                  <c:v>0.09</c:v>
                </c:pt>
                <c:pt idx="2">
                  <c:v>0.11</c:v>
                </c:pt>
                <c:pt idx="3">
                  <c:v>0.22</c:v>
                </c:pt>
                <c:pt idx="4">
                  <c:v>0.27</c:v>
                </c:pt>
                <c:pt idx="5">
                  <c:v>0.3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6-1E1B-4EA0-B903-BFFBF26A7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0493268"/>
        <c:axId val="531704516"/>
      </c:lineChart>
      <c:catAx>
        <c:axId val="1270493268"/>
        <c:scaling>
          <c:orientation val="minMax"/>
        </c:scaling>
        <c:delete val="0"/>
        <c:axPos val="b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r>
                  <a:rPr lang="es-ES" b="0">
                    <a:solidFill>
                      <a:srgbClr val="001391"/>
                    </a:solidFill>
                    <a:latin typeface="+mn-lt"/>
                  </a:rPr>
                  <a:t> 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sz="105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531704516"/>
        <c:crosses val="autoZero"/>
        <c:auto val="1"/>
        <c:lblAlgn val="ctr"/>
        <c:lblOffset val="100"/>
        <c:noMultiLvlLbl val="1"/>
      </c:catAx>
      <c:valAx>
        <c:axId val="531704516"/>
        <c:scaling>
          <c:orientation val="minMax"/>
          <c:max val="0.5"/>
        </c:scaling>
        <c:delete val="0"/>
        <c:axPos val="l"/>
        <c:majorGridlines>
          <c:spPr>
            <a:ln w="6350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%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270493268"/>
        <c:crosses val="autoZero"/>
        <c:crossBetween val="midCat"/>
        <c:majorUnit val="0.1"/>
      </c:valAx>
      <c:spPr>
        <a:noFill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11172247115519401"/>
          <c:y val="0.90939958592132508"/>
          <c:w val="0.28803004596801091"/>
          <c:h val="6.4178282062568259E-2"/>
        </c:manualLayout>
      </c:layout>
      <c:overlay val="0"/>
      <c:txPr>
        <a:bodyPr/>
        <a:lstStyle/>
        <a:p>
          <a:pPr>
            <a:defRPr sz="800">
              <a:solidFill>
                <a:srgbClr val="46536D"/>
              </a:solidFill>
            </a:defRPr>
          </a:pPr>
          <a:endParaRPr lang="es-ES"/>
        </a:p>
      </c:txPr>
    </c:legend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autoTitleDeleted val="1"/>
    <c:plotArea>
      <c:layout>
        <c:manualLayout>
          <c:layoutTarget val="inner"/>
          <c:xMode val="edge"/>
          <c:yMode val="edge"/>
          <c:x val="7.1762648597941431E-2"/>
          <c:y val="7.7124526100904048E-2"/>
          <c:w val="0.8978688187015228"/>
          <c:h val="0.78299928418038656"/>
        </c:manualLayout>
      </c:layout>
      <c:lineChart>
        <c:grouping val="standard"/>
        <c:varyColors val="1"/>
        <c:ser>
          <c:idx val="0"/>
          <c:order val="0"/>
          <c:tx>
            <c:strRef>
              <c:f>'Otros gráficos'!$C$220</c:f>
              <c:strCache>
                <c:ptCount val="1"/>
                <c:pt idx="0">
                  <c:v>X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8"/>
            <c:spPr>
              <a:blipFill>
                <a:blip xmlns:r="http://schemas.openxmlformats.org/officeDocument/2006/relationships" r:embed="rId1"/>
                <a:stretch>
                  <a:fillRect/>
                </a:stretch>
              </a:blipFill>
              <a:ln>
                <a:noFill/>
              </a:ln>
            </c:spPr>
          </c:marker>
          <c:cat>
            <c:numRef>
              <c:f>'Otros gráficos'!$B$221:$B$223</c:f>
              <c:numCache>
                <c:formatCode>General</c:formatCod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numCache>
            </c:numRef>
          </c:cat>
          <c:val>
            <c:numRef>
              <c:f>'Otros gráficos'!$C$221:$C$223</c:f>
              <c:numCache>
                <c:formatCode>0.00</c:formatCode>
                <c:ptCount val="3"/>
                <c:pt idx="0">
                  <c:v>-1.4079121975396625E-2</c:v>
                </c:pt>
                <c:pt idx="1">
                  <c:v>-6.2935843753564313E-2</c:v>
                </c:pt>
                <c:pt idx="2" formatCode="General">
                  <c:v>0.32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03A-472F-91F7-E1D2B3BAFDBE}"/>
            </c:ext>
          </c:extLst>
        </c:ser>
        <c:ser>
          <c:idx val="1"/>
          <c:order val="1"/>
          <c:tx>
            <c:strRef>
              <c:f>'Otros gráficos'!$D$220</c:f>
              <c:strCache>
                <c:ptCount val="1"/>
                <c:pt idx="0">
                  <c:v>X</c:v>
                </c:pt>
              </c:strCache>
            </c:strRef>
          </c:tx>
          <c:spPr>
            <a:ln>
              <a:noFill/>
            </a:ln>
          </c:spPr>
          <c:marker>
            <c:symbol val="dash"/>
            <c:size val="18"/>
            <c:spPr>
              <a:blipFill>
                <a:blip xmlns:r="http://schemas.openxmlformats.org/officeDocument/2006/relationships" r:embed="rId2"/>
                <a:stretch>
                  <a:fillRect/>
                </a:stretch>
              </a:blipFill>
              <a:ln>
                <a:noFill/>
              </a:ln>
            </c:spPr>
          </c:marker>
          <c:cat>
            <c:numRef>
              <c:f>'Otros gráficos'!$B$221:$B$223</c:f>
              <c:numCache>
                <c:formatCode>General</c:formatCode>
                <c:ptCount val="3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</c:numCache>
            </c:numRef>
          </c:cat>
          <c:val>
            <c:numRef>
              <c:f>'Otros gráficos'!$D$221:$D$223</c:f>
              <c:numCache>
                <c:formatCode>0.00</c:formatCode>
                <c:ptCount val="3"/>
                <c:pt idx="0">
                  <c:v>-9.2522884449430798E-2</c:v>
                </c:pt>
                <c:pt idx="1">
                  <c:v>-0.32776439748940511</c:v>
                </c:pt>
                <c:pt idx="2" formatCode="General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51-4060-AAFE-D3EB3F85F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12700">
              <a:solidFill>
                <a:schemeClr val="tx1"/>
              </a:solidFill>
            </a:ln>
          </c:spPr>
        </c:hiLowLines>
        <c:marker val="1"/>
        <c:smooth val="0"/>
        <c:axId val="1534725775"/>
        <c:axId val="743405841"/>
      </c:lineChart>
      <c:catAx>
        <c:axId val="1534725775"/>
        <c:scaling>
          <c:orientation val="minMax"/>
        </c:scaling>
        <c:delete val="0"/>
        <c:axPos val="b"/>
        <c:majorGridlines>
          <c:spPr>
            <a:ln w="3175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General" sourceLinked="1"/>
        <c:majorTickMark val="none"/>
        <c:minorTickMark val="none"/>
        <c:tickLblPos val="low"/>
        <c:spPr>
          <a:ln>
            <a:noFill/>
          </a:ln>
        </c:spPr>
        <c:txPr>
          <a:bodyPr/>
          <a:lstStyle/>
          <a:p>
            <a:pPr lvl="0">
              <a:defRPr sz="1200" b="1">
                <a:solidFill>
                  <a:schemeClr val="tx1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743405841"/>
        <c:crosses val="autoZero"/>
        <c:auto val="1"/>
        <c:lblAlgn val="ctr"/>
        <c:lblOffset val="100"/>
        <c:noMultiLvlLbl val="1"/>
      </c:catAx>
      <c:valAx>
        <c:axId val="743405841"/>
        <c:scaling>
          <c:orientation val="minMax"/>
          <c:max val="0.4"/>
          <c:min val="-0.4"/>
        </c:scaling>
        <c:delete val="0"/>
        <c:axPos val="l"/>
        <c:majorGridlines>
          <c:spPr>
            <a:ln w="3175">
              <a:solidFill>
                <a:srgbClr val="E2E6EA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1391"/>
                    </a:solidFill>
                    <a:latin typeface="+mn-lt"/>
                  </a:defRPr>
                </a:pPr>
                <a:endParaRPr lang="es-ES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sz="700" b="1">
                <a:solidFill>
                  <a:srgbClr val="ADB8C2"/>
                </a:solidFill>
                <a:latin typeface="BBVABentonSansLight" panose="00000000000000020000" pitchFamily="2" charset="0"/>
              </a:defRPr>
            </a:pPr>
            <a:endParaRPr lang="es-ES"/>
          </a:p>
        </c:txPr>
        <c:crossAx val="1534725775"/>
        <c:crosses val="autoZero"/>
        <c:crossBetween val="between"/>
        <c:majorUnit val="0.1"/>
      </c:valAx>
      <c:spPr>
        <a:noFill/>
      </c:spPr>
    </c:plotArea>
    <c:plotVisOnly val="1"/>
    <c:dispBlanksAs val="zero"/>
    <c:showDLblsOverMax val="1"/>
  </c:chart>
  <c:spPr>
    <a:solidFill>
      <a:schemeClr val="bg2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_xlchart.v1.1</cx:f>
      </cx:numDim>
    </cx:data>
  </cx:chartData>
  <cx:chart>
    <cx:plotArea>
      <cx:plotAreaRegion>
        <cx:plotSurface>
          <cx:spPr>
            <a:noFill/>
            <a:ln>
              <a:noFill/>
            </a:ln>
          </cx:spPr>
        </cx:plotSurface>
        <cx:series layoutId="waterfall" uniqueId="{DD2DA7C0-03AF-4DFD-9D2C-69CBED838576}">
          <cx:spPr>
            <a:blipFill>
              <a:blip r:embed="rId1"/>
              <a:stretch>
                <a:fillRect/>
              </a:stretch>
            </a:blipFill>
            <a:ln w="6350">
              <a:solidFill>
                <a:srgbClr val="E2E6EA"/>
              </a:solidFill>
            </a:ln>
          </cx:spPr>
          <cx:dataPt idx="3">
            <cx:spPr>
              <a:blipFill>
                <a:blip r:embed="rId2"/>
                <a:stretch>
                  <a:fillRect/>
                </a:stretch>
              </a:blipFill>
            </cx:spPr>
          </cx:dataPt>
          <cx:dataPt idx="4">
            <cx:spPr>
              <a:blipFill>
                <a:blip r:embed="rId2"/>
                <a:stretch>
                  <a:fillRect/>
                </a:stretch>
              </a:blipFill>
            </cx:spPr>
          </cx:dataPt>
          <cx:dataPt idx="5">
            <cx:spPr>
              <a:blipFill>
                <a:blip r:embed="rId2"/>
                <a:stretch>
                  <a:fillRect/>
                </a:stretch>
              </a:blipFill>
            </cx:spPr>
          </cx:dataPt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400" b="0">
                    <a:solidFill>
                      <a:schemeClr val="tx1"/>
                    </a:solidFill>
                    <a:latin typeface="+mn-lt"/>
                    <a:ea typeface="BentonSansBBVA Light" panose="00000000000000020000" pitchFamily="50" charset="0"/>
                    <a:cs typeface="BentonSansBBVA Light" panose="00000000000000020000" pitchFamily="50" charset="0"/>
                  </a:defRPr>
                </a:pPr>
                <a:endParaRPr lang="es-ES" sz="1400" b="0" i="0" u="none" strike="noStrike" baseline="0">
                  <a:solidFill>
                    <a:schemeClr val="tx1"/>
                  </a:solidFill>
                  <a:latin typeface="+mn-lt"/>
                </a:endParaRPr>
              </a:p>
            </cx:txPr>
          </cx:dataLabels>
          <cx:dataId val="0"/>
          <cx:layoutPr>
            <cx:visibility connectorLines="1"/>
            <cx:subtotals>
              <cx:idx val="0"/>
            </cx:subtotals>
          </cx:layoutPr>
        </cx:series>
      </cx:plotAreaRegion>
      <cx:axis id="0">
        <cx:catScaling gapWidth="0.970000029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 b="1">
                <a:solidFill>
                  <a:schemeClr val="tx1"/>
                </a:solidFill>
                <a:latin typeface="BBVABentonSansLight" panose="00000000000000020000" pitchFamily="2" charset="0"/>
                <a:ea typeface="BBVABentonSansLight" panose="00000000000000020000" pitchFamily="2" charset="0"/>
                <a:cs typeface="BBVABentonSansLight" panose="00000000000000020000" pitchFamily="2" charset="0"/>
              </a:defRPr>
            </a:pPr>
            <a:endParaRPr lang="es-ES" sz="1000" b="1" i="0" u="none" strike="noStrike" baseline="0">
              <a:solidFill>
                <a:schemeClr val="tx1"/>
              </a:solidFill>
              <a:latin typeface="BBVABentonSansLight" panose="00000000000000020000" pitchFamily="2" charset="0"/>
            </a:endParaRPr>
          </a:p>
        </cx:txPr>
      </cx:axis>
      <cx:axis id="1" hidden="1">
        <cx:valScaling/>
        <cx:tickLabels/>
      </cx:axis>
    </cx:plotArea>
  </cx:chart>
  <cx:spPr>
    <a:noFill/>
    <a:ln>
      <a:noFill/>
    </a:ln>
  </cx:spPr>
  <cx:printSettings>
    <cx:headerFooter alignWithMargins="1" differentOddEven="0" differentFirst="0"/>
    <cx:pageMargins l="0.69999999999999996" r="0.69999999999999996" t="0.75" b="0.75" header="0.29999999999999999" footer="0.29999999999999999"/>
    <cx:pageSetup paperSize="1" firstPageNumber="1" orientation="default" blackAndWhite="0" draft="0" useFirstPageNumber="0" horizontalDpi="600" verticalDpi="600" copies="1"/>
  </cx:printSetting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dk1"/>
  <a:schemeClr val="accent2"/>
  <a:schemeClr val="dk1"/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/>
  </cs:axisTitle>
  <cs:categoryAxis>
    <cs:lnRef idx="0"/>
    <cs:fillRef idx="0"/>
    <cs:effectRef idx="0"/>
    <cs:fontRef idx="minor"/>
  </cs:categoryAxis>
  <cs:chartArea>
    <cs:lnRef idx="0"/>
    <cs:fillRef idx="0"/>
    <cs:effectRef idx="0"/>
    <cs:fontRef idx="minor"/>
    <cs:spPr>
      <a:solidFill>
        <a:srgbClr val="FFFFFF"/>
      </a:solidFill>
      <a:ln w="9525" cap="flat" cmpd="sng" algn="ctr">
        <a:solidFill>
          <a:srgbClr val="000000"/>
        </a:solidFill>
      </a:ln>
    </cs:spPr>
  </cs:chartArea>
  <cs:dataLabel>
    <cs:lnRef idx="0"/>
    <cs:fillRef idx="0"/>
    <cs:effectRef idx="0"/>
    <cs:fontRef idx="minor"/>
  </cs:dataLabel>
  <cs:dataLabelCallout>
    <cs:lnRef idx="0"/>
    <cs:fillRef idx="0"/>
    <cs:effectRef idx="0"/>
    <cs:fontRef idx="minor"/>
  </cs:dataLabelCallout>
  <cs:dataPoint>
    <cs:lnRef idx="0"/>
    <cs:fillRef idx="0">
      <cs:styleClr val="isAuto"/>
    </cs:fillRef>
    <cs:effectRef idx="0"/>
    <cs:fontRef idx="minor"/>
    <cs:spPr>
      <a:solidFill>
        <a:schemeClr val="phClr"/>
      </a:solidFill>
    </cs:spPr>
  </cs:dataPoint>
  <cs:dataPoint3D>
    <cs:lnRef idx="0"/>
    <cs:fillRef idx="0"/>
    <cs:effectRef idx="0"/>
    <cs:fontRef idx="minor"/>
  </cs:dataPoint3D>
  <cs:dataPointLine>
    <cs:lnRef idx="0"/>
    <cs:fillRef idx="0"/>
    <cs:effectRef idx="0"/>
    <cs:fontRef idx="minor"/>
  </cs:dataPointLine>
  <cs:dataPointMarker>
    <cs:lnRef idx="0"/>
    <cs:fillRef idx="0"/>
    <cs:effectRef idx="0"/>
    <cs:fontRef idx="minor"/>
  </cs:dataPointMarker>
  <cs:dataPointWireframe>
    <cs:lnRef idx="0"/>
    <cs:fillRef idx="0"/>
    <cs:effectRef idx="0"/>
    <cs:fontRef idx="minor"/>
  </cs:dataPointWireframe>
  <cs:dataTable>
    <cs:lnRef idx="0"/>
    <cs:fillRef idx="0"/>
    <cs:effectRef idx="0"/>
    <cs:fontRef idx="minor"/>
  </cs:dataTable>
  <cs:downBar>
    <cs:lnRef idx="0"/>
    <cs:fillRef idx="0"/>
    <cs:effectRef idx="0"/>
    <cs:fontRef idx="minor"/>
  </cs:downBar>
  <cs:dropLine>
    <cs:lnRef idx="0"/>
    <cs:fillRef idx="0"/>
    <cs:effectRef idx="0"/>
    <cs:fontRef idx="minor"/>
  </cs:dropLine>
  <cs:errorBar>
    <cs:lnRef idx="0"/>
    <cs:fillRef idx="0"/>
    <cs:effectRef idx="0"/>
    <cs:fontRef idx="minor"/>
  </cs:errorBar>
  <cs:floor>
    <cs:lnRef idx="0"/>
    <cs:fillRef idx="0"/>
    <cs:effectRef idx="0"/>
    <cs:fontRef idx="minor"/>
  </cs:floor>
  <cs:gridlineMajor>
    <cs:lnRef idx="0"/>
    <cs:fillRef idx="0"/>
    <cs:effectRef idx="0"/>
    <cs:fontRef idx="minor"/>
  </cs:gridlineMajor>
  <cs:gridlineMinor>
    <cs:lnRef idx="0"/>
    <cs:fillRef idx="0"/>
    <cs:effectRef idx="0"/>
    <cs:fontRef idx="minor"/>
  </cs:gridlineMinor>
  <cs:hiLoLine>
    <cs:lnRef idx="0"/>
    <cs:fillRef idx="0"/>
    <cs:effectRef idx="0"/>
    <cs:fontRef idx="minor"/>
  </cs:hiLoLine>
  <cs:leaderLine>
    <cs:lnRef idx="0"/>
    <cs:fillRef idx="0"/>
    <cs:effectRef idx="0"/>
    <cs:fontRef idx="minor"/>
  </cs:leaderLine>
  <cs:legend>
    <cs:lnRef idx="0"/>
    <cs:fillRef idx="0"/>
    <cs:effectRef idx="0"/>
    <cs:fontRef idx="minor"/>
  </cs:legend>
  <cs:plotArea>
    <cs:lnRef idx="0"/>
    <cs:fillRef idx="0"/>
    <cs:effectRef idx="0"/>
    <cs:fontRef idx="minor"/>
  </cs:plotArea>
  <cs:plotArea3D>
    <cs:lnRef idx="0"/>
    <cs:fillRef idx="0"/>
    <cs:effectRef idx="0"/>
    <cs:fontRef idx="minor"/>
  </cs:plotArea3D>
  <cs:seriesAxis>
    <cs:lnRef idx="0"/>
    <cs:fillRef idx="0"/>
    <cs:effectRef idx="0"/>
    <cs:fontRef idx="minor"/>
  </cs:seriesAxis>
  <cs:seriesLine>
    <cs:lnRef idx="0"/>
    <cs:fillRef idx="0"/>
    <cs:effectRef idx="0"/>
    <cs:fontRef idx="minor"/>
  </cs:seriesLine>
  <cs:title>
    <cs:lnRef idx="0"/>
    <cs:fillRef idx="0"/>
    <cs:effectRef idx="0"/>
    <cs:fontRef idx="minor"/>
  </cs:title>
  <cs:trendline>
    <cs:lnRef idx="0"/>
    <cs:fillRef idx="0"/>
    <cs:effectRef idx="0"/>
    <cs:fontRef idx="minor"/>
  </cs:trendline>
  <cs:trendlineLabel>
    <cs:lnRef idx="0"/>
    <cs:fillRef idx="0"/>
    <cs:effectRef idx="0"/>
    <cs:fontRef idx="minor"/>
  </cs:trendlineLabel>
  <cs:upBar>
    <cs:lnRef idx="0"/>
    <cs:fillRef idx="0"/>
    <cs:effectRef idx="0"/>
    <cs:fontRef idx="minor"/>
  </cs:upBar>
  <cs:valueAxis>
    <cs:lnRef idx="0"/>
    <cs:fillRef idx="0"/>
    <cs:effectRef idx="0"/>
    <cs:fontRef idx="minor"/>
  </cs:valueAxis>
  <cs:wall>
    <cs:lnRef idx="0"/>
    <cs:fillRef idx="0"/>
    <cs:effectRef idx="0"/>
    <cs:fontRef idx="minor"/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5.xml"/><Relationship Id="rId3" Type="http://schemas.openxmlformats.org/officeDocument/2006/relationships/chart" Target="../charts/chart11.xml"/><Relationship Id="rId7" Type="http://schemas.openxmlformats.org/officeDocument/2006/relationships/chart" Target="../charts/chart14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microsoft.com/office/2014/relationships/chartEx" Target="../charts/chartEx1.xml"/><Relationship Id="rId5" Type="http://schemas.openxmlformats.org/officeDocument/2006/relationships/chart" Target="../charts/chart13.xml"/><Relationship Id="rId10" Type="http://schemas.openxmlformats.org/officeDocument/2006/relationships/chart" Target="../charts/chart17.xml"/><Relationship Id="rId4" Type="http://schemas.openxmlformats.org/officeDocument/2006/relationships/chart" Target="../charts/chart12.xml"/><Relationship Id="rId9" Type="http://schemas.openxmlformats.org/officeDocument/2006/relationships/chart" Target="../charts/chart16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5" Type="http://schemas.openxmlformats.org/officeDocument/2006/relationships/chart" Target="../charts/chart22.xml"/><Relationship Id="rId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6" Type="http://schemas.openxmlformats.org/officeDocument/2006/relationships/chart" Target="../charts/chart31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109818</xdr:colOff>
      <xdr:row>10</xdr:row>
      <xdr:rowOff>143995</xdr:rowOff>
    </xdr:from>
    <xdr:to>
      <xdr:col>2</xdr:col>
      <xdr:colOff>2387617</xdr:colOff>
      <xdr:row>10</xdr:row>
      <xdr:rowOff>3907087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AA95D760-5690-46B7-AD8C-96D7052115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2877" y="2923054"/>
          <a:ext cx="2277799" cy="3763092"/>
        </a:xfrm>
        <a:prstGeom prst="rect">
          <a:avLst/>
        </a:prstGeom>
      </xdr:spPr>
    </xdr:pic>
    <xdr:clientData/>
  </xdr:twoCellAnchor>
  <xdr:twoCellAnchor editAs="oneCell">
    <xdr:from>
      <xdr:col>4</xdr:col>
      <xdr:colOff>295109</xdr:colOff>
      <xdr:row>10</xdr:row>
      <xdr:rowOff>105000</xdr:rowOff>
    </xdr:from>
    <xdr:to>
      <xdr:col>8</xdr:col>
      <xdr:colOff>309546</xdr:colOff>
      <xdr:row>10</xdr:row>
      <xdr:rowOff>3762441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24F19F05-3386-47C9-A175-64040A4B5A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75618" y="3097582"/>
          <a:ext cx="3505783" cy="3657441"/>
        </a:xfrm>
        <a:prstGeom prst="rect">
          <a:avLst/>
        </a:prstGeom>
      </xdr:spPr>
    </xdr:pic>
    <xdr:clientData/>
  </xdr:twoCellAnchor>
  <xdr:twoCellAnchor editAs="oneCell">
    <xdr:from>
      <xdr:col>8</xdr:col>
      <xdr:colOff>998186</xdr:colOff>
      <xdr:row>10</xdr:row>
      <xdr:rowOff>98118</xdr:rowOff>
    </xdr:from>
    <xdr:to>
      <xdr:col>14</xdr:col>
      <xdr:colOff>697</xdr:colOff>
      <xdr:row>10</xdr:row>
      <xdr:rowOff>1941667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BC4DCF8-F031-4E21-8C2C-BE6AB52B6E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0041" y="3090700"/>
          <a:ext cx="4239529" cy="1843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447675</xdr:colOff>
      <xdr:row>66</xdr:row>
      <xdr:rowOff>9525</xdr:rowOff>
    </xdr:from>
    <xdr:ext cx="2533650" cy="2724150"/>
    <xdr:graphicFrame macro="">
      <xdr:nvGraphicFramePr>
        <xdr:cNvPr id="2" name="Chart 1" title="Gráfic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447675</xdr:colOff>
      <xdr:row>45</xdr:row>
      <xdr:rowOff>9525</xdr:rowOff>
    </xdr:from>
    <xdr:ext cx="2533650" cy="2724150"/>
    <xdr:graphicFrame macro="">
      <xdr:nvGraphicFramePr>
        <xdr:cNvPr id="3" name="Chart 2" title="Gráfic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9</xdr:col>
      <xdr:colOff>447675</xdr:colOff>
      <xdr:row>45</xdr:row>
      <xdr:rowOff>76200</xdr:rowOff>
    </xdr:from>
    <xdr:ext cx="2533650" cy="2724150"/>
    <xdr:graphicFrame macro="">
      <xdr:nvGraphicFramePr>
        <xdr:cNvPr id="4" name="Chart 3" title="Gráfic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0</xdr:col>
      <xdr:colOff>447675</xdr:colOff>
      <xdr:row>22</xdr:row>
      <xdr:rowOff>9525</xdr:rowOff>
    </xdr:from>
    <xdr:ext cx="2533650" cy="2724150"/>
    <xdr:graphicFrame macro="">
      <xdr:nvGraphicFramePr>
        <xdr:cNvPr id="5" name="Chart 4" title="Gráfic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9</xdr:col>
      <xdr:colOff>447675</xdr:colOff>
      <xdr:row>22</xdr:row>
      <xdr:rowOff>9525</xdr:rowOff>
    </xdr:from>
    <xdr:ext cx="2533650" cy="2724150"/>
    <xdr:graphicFrame macro="">
      <xdr:nvGraphicFramePr>
        <xdr:cNvPr id="6" name="Chart 5" title="Gráfic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9</xdr:col>
      <xdr:colOff>447675</xdr:colOff>
      <xdr:row>2</xdr:row>
      <xdr:rowOff>9525</xdr:rowOff>
    </xdr:from>
    <xdr:ext cx="2533650" cy="2724150"/>
    <xdr:graphicFrame macro="">
      <xdr:nvGraphicFramePr>
        <xdr:cNvPr id="7" name="Chart 6" title="Gráfic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0</xdr:col>
      <xdr:colOff>447675</xdr:colOff>
      <xdr:row>2</xdr:row>
      <xdr:rowOff>9525</xdr:rowOff>
    </xdr:from>
    <xdr:ext cx="2533650" cy="2724150"/>
    <xdr:graphicFrame macro="">
      <xdr:nvGraphicFramePr>
        <xdr:cNvPr id="8" name="Chart 7" title="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9</xdr:col>
      <xdr:colOff>400050</xdr:colOff>
      <xdr:row>66</xdr:row>
      <xdr:rowOff>9525</xdr:rowOff>
    </xdr:from>
    <xdr:ext cx="2533650" cy="2724150"/>
    <xdr:graphicFrame macro="">
      <xdr:nvGraphicFramePr>
        <xdr:cNvPr id="9" name="Chart 8" title="Gráfico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381000</xdr:colOff>
      <xdr:row>5</xdr:row>
      <xdr:rowOff>142875</xdr:rowOff>
    </xdr:from>
    <xdr:ext cx="3409950" cy="1933575"/>
    <xdr:graphicFrame macro="">
      <xdr:nvGraphicFramePr>
        <xdr:cNvPr id="9" name="Chart 9" title="Gráfico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15</xdr:col>
      <xdr:colOff>114300</xdr:colOff>
      <xdr:row>4</xdr:row>
      <xdr:rowOff>95250</xdr:rowOff>
    </xdr:from>
    <xdr:ext cx="4429125" cy="2238375"/>
    <xdr:graphicFrame macro="">
      <xdr:nvGraphicFramePr>
        <xdr:cNvPr id="10" name="Chart 10" title="Gráfic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4</xdr:col>
      <xdr:colOff>381000</xdr:colOff>
      <xdr:row>26</xdr:row>
      <xdr:rowOff>142875</xdr:rowOff>
    </xdr:from>
    <xdr:ext cx="4191000" cy="1933575"/>
    <xdr:graphicFrame macro="">
      <xdr:nvGraphicFramePr>
        <xdr:cNvPr id="11" name="Chart 11" title="Gráfico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4</xdr:col>
      <xdr:colOff>381000</xdr:colOff>
      <xdr:row>44</xdr:row>
      <xdr:rowOff>66675</xdr:rowOff>
    </xdr:from>
    <xdr:ext cx="5048250" cy="2333625"/>
    <xdr:graphicFrame macro="">
      <xdr:nvGraphicFramePr>
        <xdr:cNvPr id="12" name="Chart 12" title="Gráfico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16</xdr:col>
      <xdr:colOff>17318</xdr:colOff>
      <xdr:row>26</xdr:row>
      <xdr:rowOff>38966</xdr:rowOff>
    </xdr:from>
    <xdr:ext cx="4499264" cy="2238375"/>
    <xdr:graphicFrame macro="">
      <xdr:nvGraphicFramePr>
        <xdr:cNvPr id="13" name="Chart 13" title="Gráfico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15</xdr:col>
      <xdr:colOff>609600</xdr:colOff>
      <xdr:row>46</xdr:row>
      <xdr:rowOff>21771</xdr:rowOff>
    </xdr:from>
    <xdr:ext cx="4408713" cy="2368014"/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14" name="Chart 14" title="Gráfico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150850" y="8200571"/>
              <a:ext cx="4408713" cy="23680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 fLocksWithSheet="0"/>
  </xdr:oneCellAnchor>
  <xdr:oneCellAnchor>
    <xdr:from>
      <xdr:col>5</xdr:col>
      <xdr:colOff>504825</xdr:colOff>
      <xdr:row>66</xdr:row>
      <xdr:rowOff>9525</xdr:rowOff>
    </xdr:from>
    <xdr:ext cx="3476625" cy="3095625"/>
    <xdr:graphicFrame macro="">
      <xdr:nvGraphicFramePr>
        <xdr:cNvPr id="16" name="Chart 16" title="Gráfico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16</xdr:col>
      <xdr:colOff>574964</xdr:colOff>
      <xdr:row>65</xdr:row>
      <xdr:rowOff>171450</xdr:rowOff>
    </xdr:from>
    <xdr:ext cx="3267075" cy="3181350"/>
    <xdr:graphicFrame macro="">
      <xdr:nvGraphicFramePr>
        <xdr:cNvPr id="17" name="Chart 17" title="Gráfico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5</xdr:col>
      <xdr:colOff>226919</xdr:colOff>
      <xdr:row>92</xdr:row>
      <xdr:rowOff>169769</xdr:rowOff>
    </xdr:from>
    <xdr:ext cx="3476625" cy="3648075"/>
    <xdr:graphicFrame macro="">
      <xdr:nvGraphicFramePr>
        <xdr:cNvPr id="18" name="Chart 18" title="Gráfico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15</xdr:col>
      <xdr:colOff>415179</xdr:colOff>
      <xdr:row>92</xdr:row>
      <xdr:rowOff>154081</xdr:rowOff>
    </xdr:from>
    <xdr:ext cx="3878916" cy="3648075"/>
    <xdr:graphicFrame macro="">
      <xdr:nvGraphicFramePr>
        <xdr:cNvPr id="19" name="Chart 19" title="Gráfico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219075</xdr:colOff>
      <xdr:row>86</xdr:row>
      <xdr:rowOff>76200</xdr:rowOff>
    </xdr:from>
    <xdr:ext cx="8296275" cy="3886200"/>
    <xdr:graphicFrame macro="">
      <xdr:nvGraphicFramePr>
        <xdr:cNvPr id="20" name="Chart 20" title="Gráfico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0</xdr:col>
      <xdr:colOff>514350</xdr:colOff>
      <xdr:row>86</xdr:row>
      <xdr:rowOff>85725</xdr:rowOff>
    </xdr:from>
    <xdr:ext cx="8296275" cy="3886200"/>
    <xdr:graphicFrame macro="">
      <xdr:nvGraphicFramePr>
        <xdr:cNvPr id="21" name="Chart 21" title="Gráfico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19</xdr:col>
      <xdr:colOff>809625</xdr:colOff>
      <xdr:row>46</xdr:row>
      <xdr:rowOff>66675</xdr:rowOff>
    </xdr:from>
    <xdr:ext cx="7105650" cy="3886200"/>
    <xdr:graphicFrame macro="">
      <xdr:nvGraphicFramePr>
        <xdr:cNvPr id="22" name="Chart 22" title="Gráfico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9</xdr:col>
      <xdr:colOff>400050</xdr:colOff>
      <xdr:row>45</xdr:row>
      <xdr:rowOff>142875</xdr:rowOff>
    </xdr:from>
    <xdr:ext cx="7105650" cy="3886200"/>
    <xdr:graphicFrame macro="">
      <xdr:nvGraphicFramePr>
        <xdr:cNvPr id="23" name="Chart 23" title="Gráfico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0</xdr:col>
      <xdr:colOff>361950</xdr:colOff>
      <xdr:row>45</xdr:row>
      <xdr:rowOff>66675</xdr:rowOff>
    </xdr:from>
    <xdr:ext cx="5429250" cy="3886200"/>
    <xdr:graphicFrame macro="">
      <xdr:nvGraphicFramePr>
        <xdr:cNvPr id="24" name="Chart 24" title="Gráfico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19</xdr:col>
      <xdr:colOff>800100</xdr:colOff>
      <xdr:row>11</xdr:row>
      <xdr:rowOff>67252</xdr:rowOff>
    </xdr:from>
    <xdr:ext cx="5429250" cy="3886200"/>
    <xdr:graphicFrame macro="">
      <xdr:nvGraphicFramePr>
        <xdr:cNvPr id="25" name="Chart 25" title="Gráfico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9</xdr:col>
      <xdr:colOff>762000</xdr:colOff>
      <xdr:row>11</xdr:row>
      <xdr:rowOff>28575</xdr:rowOff>
    </xdr:from>
    <xdr:ext cx="5429250" cy="3886200"/>
    <xdr:graphicFrame macro="">
      <xdr:nvGraphicFramePr>
        <xdr:cNvPr id="26" name="Chart 26" title="Gráfico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0</xdr:col>
      <xdr:colOff>523875</xdr:colOff>
      <xdr:row>11</xdr:row>
      <xdr:rowOff>97847</xdr:rowOff>
    </xdr:from>
    <xdr:ext cx="5429250" cy="3886200"/>
    <xdr:graphicFrame macro="">
      <xdr:nvGraphicFramePr>
        <xdr:cNvPr id="27" name="Chart 27" title="Gráfico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494846</xdr:colOff>
      <xdr:row>6</xdr:row>
      <xdr:rowOff>72571</xdr:rowOff>
    </xdr:from>
    <xdr:ext cx="3943350" cy="1743075"/>
    <xdr:graphicFrame macro="">
      <xdr:nvGraphicFramePr>
        <xdr:cNvPr id="28" name="Chart 28" title="Gráfico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16</xdr:col>
      <xdr:colOff>704850</xdr:colOff>
      <xdr:row>6</xdr:row>
      <xdr:rowOff>104775</xdr:rowOff>
    </xdr:from>
    <xdr:ext cx="5715000" cy="3038475"/>
    <xdr:graphicFrame macro="">
      <xdr:nvGraphicFramePr>
        <xdr:cNvPr id="29" name="Chart 29" title="Gráfico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12</xdr:col>
      <xdr:colOff>25400</xdr:colOff>
      <xdr:row>70</xdr:row>
      <xdr:rowOff>25400</xdr:rowOff>
    </xdr:from>
    <xdr:ext cx="9229725" cy="3886200"/>
    <xdr:graphicFrame macro="">
      <xdr:nvGraphicFramePr>
        <xdr:cNvPr id="30" name="Chart 30" title="Gráfico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11</xdr:col>
      <xdr:colOff>771525</xdr:colOff>
      <xdr:row>95</xdr:row>
      <xdr:rowOff>104775</xdr:rowOff>
    </xdr:from>
    <xdr:ext cx="9229725" cy="3886200"/>
    <xdr:graphicFrame macro="">
      <xdr:nvGraphicFramePr>
        <xdr:cNvPr id="31" name="Chart 31" title="Gráfico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16</xdr:col>
      <xdr:colOff>161925</xdr:colOff>
      <xdr:row>28</xdr:row>
      <xdr:rowOff>9525</xdr:rowOff>
    </xdr:from>
    <xdr:ext cx="5715000" cy="3038475"/>
    <xdr:graphicFrame macro="">
      <xdr:nvGraphicFramePr>
        <xdr:cNvPr id="32" name="Chart 32" title="Gráfico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1</xdr:col>
      <xdr:colOff>508933</xdr:colOff>
      <xdr:row>60</xdr:row>
      <xdr:rowOff>29248</xdr:rowOff>
    </xdr:from>
    <xdr:ext cx="5715000" cy="4114800"/>
    <xdr:graphicFrame macro="">
      <xdr:nvGraphicFramePr>
        <xdr:cNvPr id="33" name="Chart 33" title="Gráfico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4</xdr:col>
      <xdr:colOff>622704</xdr:colOff>
      <xdr:row>28</xdr:row>
      <xdr:rowOff>83127</xdr:rowOff>
    </xdr:from>
    <xdr:ext cx="3943350" cy="2733675"/>
    <xdr:graphicFrame macro="">
      <xdr:nvGraphicFramePr>
        <xdr:cNvPr id="34" name="Chart 34" title="Gráfico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627873</xdr:colOff>
      <xdr:row>87</xdr:row>
      <xdr:rowOff>67299</xdr:rowOff>
    </xdr:from>
    <xdr:ext cx="5962650" cy="3494854"/>
    <xdr:graphicFrame macro="">
      <xdr:nvGraphicFramePr>
        <xdr:cNvPr id="35" name="Chart 35" title="Gráfico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6</xdr:col>
      <xdr:colOff>190500</xdr:colOff>
      <xdr:row>112</xdr:row>
      <xdr:rowOff>123825</xdr:rowOff>
    </xdr:from>
    <xdr:ext cx="6219825" cy="3438525"/>
    <xdr:graphicFrame macro="">
      <xdr:nvGraphicFramePr>
        <xdr:cNvPr id="36" name="Chart 36" title="Gráfico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9</xdr:col>
      <xdr:colOff>714375</xdr:colOff>
      <xdr:row>11</xdr:row>
      <xdr:rowOff>123825</xdr:rowOff>
    </xdr:from>
    <xdr:ext cx="3429000" cy="2838450"/>
    <xdr:graphicFrame macro="">
      <xdr:nvGraphicFramePr>
        <xdr:cNvPr id="37" name="Chart 37" title="Gráfico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0</xdr:col>
      <xdr:colOff>610040</xdr:colOff>
      <xdr:row>11</xdr:row>
      <xdr:rowOff>15582</xdr:rowOff>
    </xdr:from>
    <xdr:ext cx="3429000" cy="2838450"/>
    <xdr:graphicFrame macro="">
      <xdr:nvGraphicFramePr>
        <xdr:cNvPr id="38" name="Chart 38" title="Gráfico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7</xdr:col>
      <xdr:colOff>120922</xdr:colOff>
      <xdr:row>39</xdr:row>
      <xdr:rowOff>22860</xdr:rowOff>
    </xdr:from>
    <xdr:ext cx="5172075" cy="3067050"/>
    <xdr:graphicFrame macro="">
      <xdr:nvGraphicFramePr>
        <xdr:cNvPr id="39" name="Chart 39" title="Gráfico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7</xdr:col>
      <xdr:colOff>66675</xdr:colOff>
      <xdr:row>62</xdr:row>
      <xdr:rowOff>104775</xdr:rowOff>
    </xdr:from>
    <xdr:ext cx="4895850" cy="3000375"/>
    <xdr:graphicFrame macro="">
      <xdr:nvGraphicFramePr>
        <xdr:cNvPr id="41" name="Chart 41" title="Gráfico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6</xdr:col>
      <xdr:colOff>190500</xdr:colOff>
      <xdr:row>138</xdr:row>
      <xdr:rowOff>43544</xdr:rowOff>
    </xdr:from>
    <xdr:ext cx="6219825" cy="3547382"/>
    <xdr:graphicFrame macro="">
      <xdr:nvGraphicFramePr>
        <xdr:cNvPr id="42" name="Chart 42" title="Gráfico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5</xdr:col>
      <xdr:colOff>137251</xdr:colOff>
      <xdr:row>164</xdr:row>
      <xdr:rowOff>28394</xdr:rowOff>
    </xdr:from>
    <xdr:ext cx="7648575" cy="3771900"/>
    <xdr:graphicFrame macro="">
      <xdr:nvGraphicFramePr>
        <xdr:cNvPr id="43" name="Chart 43" title="Gráfico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oneCellAnchor>
  <xdr:oneCellAnchor>
    <xdr:from>
      <xdr:col>4</xdr:col>
      <xdr:colOff>789305</xdr:colOff>
      <xdr:row>190</xdr:row>
      <xdr:rowOff>119743</xdr:rowOff>
    </xdr:from>
    <xdr:ext cx="7648575" cy="3771900"/>
    <xdr:graphicFrame macro="">
      <xdr:nvGraphicFramePr>
        <xdr:cNvPr id="44" name="Chart 44" title="Gráfico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oneCellAnchor>
  <xdr:oneCellAnchor>
    <xdr:from>
      <xdr:col>13</xdr:col>
      <xdr:colOff>591546</xdr:colOff>
      <xdr:row>39</xdr:row>
      <xdr:rowOff>25400</xdr:rowOff>
    </xdr:from>
    <xdr:ext cx="5172075" cy="3067050"/>
    <xdr:graphicFrame macro="">
      <xdr:nvGraphicFramePr>
        <xdr:cNvPr id="12" name="Chart 39" title="Gráfico">
          <a:extLst>
            <a:ext uri="{FF2B5EF4-FFF2-40B4-BE49-F238E27FC236}">
              <a16:creationId xmlns:a16="http://schemas.microsoft.com/office/drawing/2014/main" id="{06BB0E7E-C20A-46C6-9798-9AA1AF53D4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oneCellAnchor>
  <xdr:oneCellAnchor>
    <xdr:from>
      <xdr:col>5</xdr:col>
      <xdr:colOff>77743</xdr:colOff>
      <xdr:row>216</xdr:row>
      <xdr:rowOff>48986</xdr:rowOff>
    </xdr:from>
    <xdr:ext cx="7648575" cy="3771900"/>
    <xdr:graphicFrame macro="">
      <xdr:nvGraphicFramePr>
        <xdr:cNvPr id="14" name="Chart 44" title="Gráfico">
          <a:extLst>
            <a:ext uri="{FF2B5EF4-FFF2-40B4-BE49-F238E27FC236}">
              <a16:creationId xmlns:a16="http://schemas.microsoft.com/office/drawing/2014/main" id="{24CF896F-8E9E-4103-9A0A-CF9E53FB09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PHERICA">
  <a:themeElements>
    <a:clrScheme name="Spherica">
      <a:dk1>
        <a:srgbClr val="001391"/>
      </a:dk1>
      <a:lt1>
        <a:srgbClr val="FFFFFF"/>
      </a:lt1>
      <a:dk2>
        <a:srgbClr val="070E46"/>
      </a:dk2>
      <a:lt2>
        <a:srgbClr val="F7F8F8"/>
      </a:lt2>
      <a:accent1>
        <a:srgbClr val="85C8FF"/>
      </a:accent1>
      <a:accent2>
        <a:srgbClr val="000519"/>
      </a:accent2>
      <a:accent3>
        <a:srgbClr val="FFB56B"/>
      </a:accent3>
      <a:accent4>
        <a:srgbClr val="FFE761"/>
      </a:accent4>
      <a:accent5>
        <a:srgbClr val="88E783"/>
      </a:accent5>
      <a:accent6>
        <a:srgbClr val="9694FF"/>
      </a:accent6>
      <a:hlink>
        <a:srgbClr val="001391"/>
      </a:hlink>
      <a:folHlink>
        <a:srgbClr val="001391"/>
      </a:folHlink>
    </a:clrScheme>
    <a:fontScheme name="Spherica">
      <a:majorFont>
        <a:latin typeface="Tiempos Headline"/>
        <a:ea typeface=""/>
        <a:cs typeface=""/>
      </a:majorFont>
      <a:minorFont>
        <a:latin typeface="BBVABentonSan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PHERICA" id="{6CF5CFE0-CB8D-44AD-923C-07EF2835A801}" vid="{9C215E60-F18D-4F6D-8D89-32DF45302DC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 summaryRight="0"/>
  </sheetPr>
  <dimension ref="A1:AX914"/>
  <sheetViews>
    <sheetView showGridLines="0" tabSelected="1" zoomScale="85" zoomScaleNormal="85" workbookViewId="0">
      <selection activeCell="C5" sqref="C5:L5"/>
    </sheetView>
  </sheetViews>
  <sheetFormatPr baseColWidth="10" defaultColWidth="12.4609375" defaultRowHeight="15.75" customHeight="1" x14ac:dyDescent="0.3"/>
  <cols>
    <col min="1" max="1" width="3.4609375" customWidth="1"/>
    <col min="2" max="2" width="2.4609375" customWidth="1"/>
    <col min="3" max="3" width="29.23046875" style="101" customWidth="1"/>
    <col min="4" max="4" width="5.15234375" style="101" customWidth="1"/>
    <col min="5" max="5" width="18.61328125" customWidth="1"/>
    <col min="6" max="6" width="2.07421875" style="101" customWidth="1"/>
    <col min="7" max="7" width="18.61328125" customWidth="1"/>
    <col min="8" max="8" width="2.07421875" customWidth="1"/>
    <col min="9" max="9" width="18.61328125" customWidth="1"/>
    <col min="10" max="10" width="2.07421875" customWidth="1"/>
    <col min="11" max="11" width="18.61328125" customWidth="1"/>
    <col min="12" max="12" width="2.07421875" customWidth="1"/>
    <col min="13" max="13" width="18.61328125" customWidth="1"/>
    <col min="14" max="14" width="2.07421875" customWidth="1"/>
    <col min="15" max="15" width="18.61328125" customWidth="1"/>
    <col min="16" max="16" width="2.07421875" customWidth="1"/>
    <col min="17" max="17" width="3.53515625" customWidth="1"/>
    <col min="18" max="27" width="8" customWidth="1"/>
    <col min="28" max="28" width="10.4609375" customWidth="1"/>
    <col min="29" max="29" width="8.4609375" customWidth="1"/>
    <col min="30" max="30" width="0.61328125" customWidth="1"/>
    <col min="31" max="31" width="3" customWidth="1"/>
    <col min="32" max="32" width="11.69140625" customWidth="1"/>
    <col min="33" max="34" width="10.4609375" customWidth="1"/>
    <col min="35" max="35" width="31.61328125" customWidth="1"/>
    <col min="36" max="36" width="12.3828125" customWidth="1"/>
    <col min="37" max="50" width="10.4609375" customWidth="1"/>
  </cols>
  <sheetData>
    <row r="1" spans="1:50" ht="14.25" customHeight="1" x14ac:dyDescent="0.35">
      <c r="A1" s="9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11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</row>
    <row r="2" spans="1:50" ht="51.65" customHeight="1" x14ac:dyDescent="0.6">
      <c r="A2" s="9"/>
      <c r="B2" s="10"/>
      <c r="C2" s="105" t="s">
        <v>178</v>
      </c>
      <c r="D2" s="10"/>
      <c r="E2" s="10"/>
      <c r="F2" s="10"/>
      <c r="G2" s="10"/>
      <c r="H2" s="10"/>
      <c r="I2" s="102"/>
      <c r="J2" s="102"/>
      <c r="K2" s="102"/>
      <c r="L2" s="102"/>
      <c r="M2" s="102"/>
      <c r="N2" s="102"/>
      <c r="O2" s="102"/>
      <c r="P2" s="102"/>
      <c r="Q2" s="102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11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</row>
    <row r="3" spans="1:50" s="6" customFormat="1" ht="35.4" customHeight="1" x14ac:dyDescent="0.35">
      <c r="A3" s="3"/>
      <c r="B3" s="12"/>
      <c r="C3" s="236" t="s">
        <v>0</v>
      </c>
      <c r="D3" s="236"/>
      <c r="E3" s="236"/>
      <c r="F3" s="236"/>
      <c r="G3" s="236"/>
      <c r="H3" s="236"/>
      <c r="I3" s="236"/>
      <c r="J3" s="236"/>
      <c r="K3" s="236"/>
      <c r="L3" s="236"/>
      <c r="M3" s="102"/>
      <c r="N3" s="102"/>
      <c r="O3" s="102"/>
      <c r="P3" s="102"/>
      <c r="Q3" s="102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14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</row>
    <row r="4" spans="1:50" s="6" customFormat="1" ht="6" customHeight="1" x14ac:dyDescent="0.35">
      <c r="A4" s="3"/>
      <c r="B4" s="12"/>
      <c r="C4" s="99"/>
      <c r="D4" s="99"/>
      <c r="E4" s="99"/>
      <c r="F4" s="99"/>
      <c r="G4" s="15" t="s">
        <v>1</v>
      </c>
      <c r="H4" s="13"/>
      <c r="I4" s="103"/>
      <c r="J4" s="103"/>
      <c r="K4" s="103"/>
      <c r="L4" s="103"/>
      <c r="M4" s="103"/>
      <c r="N4" s="103"/>
      <c r="O4" s="103"/>
      <c r="P4" s="103"/>
      <c r="Q4" s="103"/>
      <c r="AB4" s="3"/>
      <c r="AC4" s="3"/>
      <c r="AD4" s="3"/>
      <c r="AE4" s="3"/>
      <c r="AF4" s="14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</row>
    <row r="5" spans="1:50" s="6" customFormat="1" ht="19.5" customHeight="1" x14ac:dyDescent="0.35">
      <c r="A5" s="3"/>
      <c r="B5" s="12"/>
      <c r="C5" s="236" t="s">
        <v>166</v>
      </c>
      <c r="D5" s="236"/>
      <c r="E5" s="236"/>
      <c r="F5" s="236"/>
      <c r="G5" s="236"/>
      <c r="H5" s="236"/>
      <c r="I5" s="236"/>
      <c r="J5" s="236"/>
      <c r="K5" s="236"/>
      <c r="L5" s="236"/>
      <c r="M5" s="102"/>
      <c r="N5" s="102"/>
      <c r="O5" s="102"/>
      <c r="P5" s="102"/>
      <c r="Q5" s="102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14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</row>
    <row r="6" spans="1:50" s="6" customFormat="1" ht="3" customHeight="1" x14ac:dyDescent="0.35">
      <c r="A6" s="3"/>
      <c r="B6" s="12"/>
      <c r="C6" s="99"/>
      <c r="D6" s="99"/>
      <c r="E6" s="99"/>
      <c r="F6" s="99"/>
      <c r="G6" s="99"/>
      <c r="H6" s="13"/>
      <c r="I6" s="103"/>
      <c r="J6" s="103"/>
      <c r="K6" s="103"/>
      <c r="L6" s="103"/>
      <c r="M6" s="103"/>
      <c r="N6" s="103"/>
      <c r="O6" s="103"/>
      <c r="P6" s="103"/>
      <c r="Q6" s="103"/>
      <c r="AB6" s="3"/>
      <c r="AC6" s="3"/>
      <c r="AD6" s="3"/>
      <c r="AE6" s="3"/>
      <c r="AF6" s="14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</row>
    <row r="7" spans="1:50" s="6" customFormat="1" ht="4.75" customHeight="1" x14ac:dyDescent="0.35">
      <c r="A7" s="3"/>
      <c r="B7" s="12"/>
      <c r="C7" s="99"/>
      <c r="D7" s="99"/>
      <c r="E7" s="103"/>
      <c r="F7" s="99"/>
      <c r="G7" s="103"/>
      <c r="H7" s="10"/>
      <c r="I7" s="102"/>
      <c r="J7" s="102"/>
      <c r="K7" s="102"/>
      <c r="L7" s="102"/>
      <c r="M7" s="102"/>
      <c r="N7" s="102"/>
      <c r="O7" s="102"/>
      <c r="P7" s="102"/>
      <c r="Q7" s="102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14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</row>
    <row r="8" spans="1:50" s="6" customFormat="1" ht="21" customHeight="1" x14ac:dyDescent="0.35">
      <c r="A8" s="3"/>
      <c r="B8" s="12"/>
      <c r="C8" s="237" t="s">
        <v>164</v>
      </c>
      <c r="D8" s="237"/>
      <c r="E8" s="237"/>
      <c r="F8" s="237"/>
      <c r="G8" s="237"/>
      <c r="H8" s="237"/>
      <c r="I8" s="237"/>
      <c r="J8" s="102"/>
      <c r="K8" s="102"/>
      <c r="L8" s="102"/>
      <c r="M8" s="102"/>
      <c r="N8" s="102"/>
      <c r="O8" s="102"/>
      <c r="P8" s="102"/>
      <c r="Q8" s="102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14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</row>
    <row r="9" spans="1:50" s="6" customFormat="1" ht="33" customHeight="1" x14ac:dyDescent="0.35">
      <c r="A9" s="3"/>
      <c r="B9" s="12"/>
      <c r="C9" s="237" t="s">
        <v>165</v>
      </c>
      <c r="D9" s="237"/>
      <c r="E9" s="237"/>
      <c r="F9" s="237"/>
      <c r="G9" s="237"/>
      <c r="H9" s="10"/>
      <c r="I9" s="102"/>
      <c r="J9" s="102"/>
      <c r="K9" s="102"/>
      <c r="L9" s="102"/>
      <c r="M9" s="102"/>
      <c r="N9" s="102"/>
      <c r="O9" s="102"/>
      <c r="P9" s="102"/>
      <c r="Q9" s="102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14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</row>
    <row r="10" spans="1:50" ht="48" customHeight="1" x14ac:dyDescent="0.35">
      <c r="A10" s="9"/>
      <c r="B10" s="10"/>
      <c r="C10" s="237" t="s">
        <v>167</v>
      </c>
      <c r="D10" s="237"/>
      <c r="E10" s="237"/>
      <c r="F10" s="237"/>
      <c r="G10" s="237"/>
      <c r="H10" s="10"/>
      <c r="I10" s="102"/>
      <c r="J10" s="102"/>
      <c r="K10" s="102"/>
      <c r="L10" s="102"/>
      <c r="M10" s="102"/>
      <c r="N10" s="102"/>
      <c r="O10" s="102"/>
      <c r="P10" s="102"/>
      <c r="Q10" s="102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11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</row>
    <row r="11" spans="1:50" ht="318.64999999999998" customHeight="1" x14ac:dyDescent="0.35">
      <c r="A11" s="9"/>
      <c r="B11" s="39"/>
      <c r="C11" s="39"/>
      <c r="D11" s="39"/>
      <c r="E11" s="40"/>
      <c r="F11" s="40"/>
      <c r="G11" s="10"/>
      <c r="H11" s="10"/>
      <c r="I11" s="102"/>
      <c r="J11" s="102"/>
      <c r="K11" s="102"/>
      <c r="L11" s="102"/>
      <c r="M11" s="102"/>
      <c r="N11" s="102"/>
      <c r="O11" s="102"/>
      <c r="P11" s="102"/>
      <c r="Q11" s="102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11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</row>
    <row r="12" spans="1:50" ht="14.25" customHeight="1" x14ac:dyDescent="0.35">
      <c r="A12" s="9"/>
      <c r="B12" s="10"/>
      <c r="C12" s="10"/>
      <c r="D12" s="10"/>
      <c r="E12" s="10"/>
      <c r="F12" s="10"/>
      <c r="G12" s="10"/>
      <c r="H12" s="10"/>
      <c r="I12" s="102"/>
      <c r="J12" s="102"/>
      <c r="K12" s="102"/>
      <c r="L12" s="102"/>
      <c r="M12" s="102"/>
      <c r="N12" s="102"/>
      <c r="O12" s="102"/>
      <c r="P12" s="102"/>
      <c r="Q12" s="102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11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</row>
    <row r="13" spans="1:50" ht="14.25" customHeight="1" x14ac:dyDescent="0.35">
      <c r="A13" s="9"/>
      <c r="B13" s="10"/>
      <c r="C13" s="10"/>
      <c r="D13" s="10"/>
      <c r="E13" s="102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11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</row>
    <row r="14" spans="1:50" ht="14.25" customHeight="1" x14ac:dyDescent="0.35">
      <c r="A14" s="41"/>
      <c r="B14" s="10"/>
      <c r="C14" s="10"/>
      <c r="D14" s="10"/>
      <c r="E14" s="102"/>
      <c r="F14" s="102"/>
      <c r="G14" s="102"/>
      <c r="H14" s="102"/>
      <c r="I14" s="106"/>
      <c r="J14" s="106"/>
      <c r="K14" s="106"/>
      <c r="L14" s="106"/>
      <c r="M14" s="106"/>
      <c r="N14" s="106"/>
      <c r="O14" s="106"/>
      <c r="P14" s="106"/>
      <c r="Q14" s="106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3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</row>
    <row r="15" spans="1:50" ht="14.25" customHeight="1" x14ac:dyDescent="0.35">
      <c r="A15" s="3"/>
      <c r="B15" s="10"/>
      <c r="C15" s="10"/>
      <c r="D15" s="10"/>
      <c r="E15" s="102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11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0" ht="14.25" customHeight="1" x14ac:dyDescent="0.35">
      <c r="A16" s="3"/>
      <c r="B16" s="10"/>
      <c r="C16" s="234" t="s">
        <v>177</v>
      </c>
      <c r="D16" s="146"/>
      <c r="E16" s="142"/>
      <c r="F16" s="143"/>
      <c r="G16" s="123"/>
      <c r="H16" s="124"/>
      <c r="I16" s="125"/>
      <c r="J16" s="124"/>
      <c r="K16" s="126"/>
      <c r="L16" s="126"/>
      <c r="M16" s="126"/>
      <c r="N16" s="126"/>
      <c r="O16" s="127"/>
      <c r="P16" s="128"/>
      <c r="Q16" s="102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11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1:50" ht="14.25" customHeight="1" x14ac:dyDescent="0.35">
      <c r="A17" s="3"/>
      <c r="B17" s="10"/>
      <c r="C17" s="235"/>
      <c r="D17" s="147"/>
      <c r="E17" s="148"/>
      <c r="F17" s="149"/>
      <c r="G17" s="240" t="s">
        <v>175</v>
      </c>
      <c r="H17" s="241"/>
      <c r="I17" s="241"/>
      <c r="J17" s="129"/>
      <c r="K17" s="238" t="s">
        <v>174</v>
      </c>
      <c r="L17" s="238"/>
      <c r="M17" s="238"/>
      <c r="N17" s="130"/>
      <c r="O17" s="131"/>
      <c r="P17" s="132"/>
      <c r="Q17" s="102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11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1:50" ht="14.25" customHeight="1" x14ac:dyDescent="0.35">
      <c r="A18" s="3"/>
      <c r="B18" s="10"/>
      <c r="C18" s="235"/>
      <c r="D18" s="147"/>
      <c r="E18" s="148"/>
      <c r="F18" s="149"/>
      <c r="G18" s="240"/>
      <c r="H18" s="241"/>
      <c r="I18" s="241"/>
      <c r="J18" s="129"/>
      <c r="K18" s="238"/>
      <c r="L18" s="238"/>
      <c r="M18" s="238"/>
      <c r="N18" s="130"/>
      <c r="O18" s="131"/>
      <c r="P18" s="132"/>
      <c r="Q18" s="102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11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</row>
    <row r="19" spans="1:50" ht="14.25" customHeight="1" x14ac:dyDescent="0.35">
      <c r="A19" s="3"/>
      <c r="B19" s="10"/>
      <c r="C19" s="235"/>
      <c r="D19" s="147"/>
      <c r="E19" s="148"/>
      <c r="F19" s="149"/>
      <c r="G19" s="240"/>
      <c r="H19" s="241"/>
      <c r="I19" s="241"/>
      <c r="J19" s="129"/>
      <c r="K19" s="238"/>
      <c r="L19" s="238"/>
      <c r="M19" s="238"/>
      <c r="N19" s="130"/>
      <c r="O19" s="231" t="s">
        <v>185</v>
      </c>
      <c r="P19" s="132"/>
      <c r="Q19" s="102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11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</row>
    <row r="20" spans="1:50" ht="14.25" customHeight="1" x14ac:dyDescent="0.35">
      <c r="A20" s="3"/>
      <c r="B20" s="10"/>
      <c r="C20" s="104"/>
      <c r="D20" s="104"/>
      <c r="E20" s="102"/>
      <c r="F20" s="102"/>
      <c r="G20" s="240"/>
      <c r="H20" s="241"/>
      <c r="I20" s="241"/>
      <c r="J20" s="129"/>
      <c r="K20" s="238"/>
      <c r="L20" s="238"/>
      <c r="M20" s="238"/>
      <c r="N20" s="130"/>
      <c r="O20" s="232"/>
      <c r="P20" s="132"/>
      <c r="Q20" s="102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11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</row>
    <row r="21" spans="1:50" ht="14.25" customHeight="1" x14ac:dyDescent="0.35">
      <c r="A21" s="3"/>
      <c r="B21" s="10"/>
      <c r="C21" s="104"/>
      <c r="D21" s="104"/>
      <c r="E21" s="102"/>
      <c r="F21" s="102"/>
      <c r="G21" s="240"/>
      <c r="H21" s="241"/>
      <c r="I21" s="241"/>
      <c r="J21" s="129"/>
      <c r="K21" s="238"/>
      <c r="L21" s="238"/>
      <c r="M21" s="238"/>
      <c r="N21" s="130"/>
      <c r="O21" s="232"/>
      <c r="P21" s="132"/>
      <c r="Q21" s="102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11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</row>
    <row r="22" spans="1:50" ht="14.25" customHeight="1" x14ac:dyDescent="0.35">
      <c r="A22" s="3"/>
      <c r="B22" s="10"/>
      <c r="C22" s="102"/>
      <c r="D22" s="102"/>
      <c r="E22" s="102"/>
      <c r="F22" s="102"/>
      <c r="G22" s="240"/>
      <c r="H22" s="241"/>
      <c r="I22" s="241"/>
      <c r="J22" s="129"/>
      <c r="K22" s="238"/>
      <c r="L22" s="238"/>
      <c r="M22" s="238"/>
      <c r="N22" s="130"/>
      <c r="O22" s="232"/>
      <c r="P22" s="132"/>
      <c r="Q22" s="102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11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</row>
    <row r="23" spans="1:50" ht="14.25" customHeight="1" x14ac:dyDescent="0.35">
      <c r="A23" s="3"/>
      <c r="B23" s="10"/>
      <c r="C23" s="102"/>
      <c r="D23" s="102"/>
      <c r="E23" s="102"/>
      <c r="F23" s="102"/>
      <c r="G23" s="240"/>
      <c r="H23" s="241"/>
      <c r="I23" s="241"/>
      <c r="J23" s="129"/>
      <c r="K23" s="238"/>
      <c r="L23" s="238"/>
      <c r="M23" s="238"/>
      <c r="N23" s="130"/>
      <c r="O23" s="232"/>
      <c r="P23" s="132"/>
      <c r="Q23" s="102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11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</row>
    <row r="24" spans="1:50" ht="14.25" customHeight="1" x14ac:dyDescent="0.35">
      <c r="A24" s="3"/>
      <c r="B24" s="10"/>
      <c r="C24" s="102"/>
      <c r="D24" s="102"/>
      <c r="E24" s="102"/>
      <c r="F24" s="102"/>
      <c r="G24" s="240"/>
      <c r="H24" s="241"/>
      <c r="I24" s="241"/>
      <c r="J24" s="129"/>
      <c r="K24" s="238"/>
      <c r="L24" s="238"/>
      <c r="M24" s="238"/>
      <c r="N24" s="130"/>
      <c r="O24" s="232"/>
      <c r="P24" s="132"/>
      <c r="Q24" s="102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11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</row>
    <row r="25" spans="1:50" ht="14.25" customHeight="1" x14ac:dyDescent="0.35">
      <c r="A25" s="3"/>
      <c r="B25" s="10"/>
      <c r="C25" s="102"/>
      <c r="D25" s="102"/>
      <c r="E25" s="102"/>
      <c r="F25" s="102"/>
      <c r="G25" s="240"/>
      <c r="H25" s="241"/>
      <c r="I25" s="241"/>
      <c r="J25" s="129"/>
      <c r="K25" s="238"/>
      <c r="L25" s="238"/>
      <c r="M25" s="238"/>
      <c r="N25" s="130"/>
      <c r="O25" s="232"/>
      <c r="P25" s="132"/>
      <c r="Q25" s="102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11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</row>
    <row r="26" spans="1:50" ht="14.25" customHeight="1" x14ac:dyDescent="0.35">
      <c r="A26" s="3"/>
      <c r="B26" s="10"/>
      <c r="C26" s="102"/>
      <c r="D26" s="102"/>
      <c r="E26" s="102"/>
      <c r="F26" s="102"/>
      <c r="G26" s="240"/>
      <c r="H26" s="241"/>
      <c r="I26" s="241"/>
      <c r="J26" s="129"/>
      <c r="K26" s="238"/>
      <c r="L26" s="238"/>
      <c r="M26" s="238"/>
      <c r="N26" s="130"/>
      <c r="O26" s="232"/>
      <c r="P26" s="132"/>
      <c r="Q26" s="102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11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</row>
    <row r="27" spans="1:50" ht="14.25" customHeight="1" x14ac:dyDescent="0.35">
      <c r="A27" s="3"/>
      <c r="B27" s="10"/>
      <c r="C27" s="102"/>
      <c r="D27" s="102"/>
      <c r="E27" s="102"/>
      <c r="F27" s="102"/>
      <c r="G27" s="240"/>
      <c r="H27" s="241"/>
      <c r="I27" s="241"/>
      <c r="J27" s="129"/>
      <c r="K27" s="238"/>
      <c r="L27" s="238"/>
      <c r="M27" s="238"/>
      <c r="N27" s="130"/>
      <c r="O27" s="232"/>
      <c r="P27" s="132"/>
      <c r="Q27" s="102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11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</row>
    <row r="28" spans="1:50" ht="40.25" customHeight="1" x14ac:dyDescent="0.35">
      <c r="A28" s="3"/>
      <c r="B28" s="10"/>
      <c r="C28" s="102"/>
      <c r="D28" s="102"/>
      <c r="E28" s="102"/>
      <c r="F28" s="102"/>
      <c r="G28" s="240"/>
      <c r="H28" s="241"/>
      <c r="I28" s="241"/>
      <c r="J28" s="129"/>
      <c r="K28" s="238"/>
      <c r="L28" s="238"/>
      <c r="M28" s="238"/>
      <c r="N28" s="130"/>
      <c r="O28" s="232"/>
      <c r="P28" s="132"/>
      <c r="Q28" s="102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11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</row>
    <row r="29" spans="1:50" ht="14.25" customHeight="1" x14ac:dyDescent="0.35">
      <c r="A29" s="3"/>
      <c r="B29" s="10"/>
      <c r="C29" s="102"/>
      <c r="D29" s="102"/>
      <c r="E29" s="102"/>
      <c r="F29" s="102"/>
      <c r="G29" s="240"/>
      <c r="H29" s="241"/>
      <c r="I29" s="241"/>
      <c r="J29" s="129"/>
      <c r="K29" s="238"/>
      <c r="L29" s="238"/>
      <c r="M29" s="238"/>
      <c r="N29" s="130"/>
      <c r="O29" s="232"/>
      <c r="P29" s="132"/>
      <c r="Q29" s="102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11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</row>
    <row r="30" spans="1:50" ht="14.25" customHeight="1" x14ac:dyDescent="0.35">
      <c r="A30" s="3"/>
      <c r="B30" s="10"/>
      <c r="C30" s="102"/>
      <c r="D30" s="102"/>
      <c r="E30" s="102"/>
      <c r="F30" s="102"/>
      <c r="G30" s="242"/>
      <c r="H30" s="243"/>
      <c r="I30" s="243"/>
      <c r="J30" s="133"/>
      <c r="K30" s="239"/>
      <c r="L30" s="239"/>
      <c r="M30" s="239"/>
      <c r="N30" s="134"/>
      <c r="O30" s="233"/>
      <c r="P30" s="135"/>
      <c r="Q30" s="102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11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</row>
    <row r="31" spans="1:50" ht="6.65" customHeight="1" x14ac:dyDescent="0.35">
      <c r="A31" s="102"/>
      <c r="B31" s="10"/>
      <c r="C31" s="102"/>
      <c r="D31" s="102"/>
      <c r="E31" s="102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11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</row>
    <row r="32" spans="1:50" ht="70.75" customHeight="1" x14ac:dyDescent="0.35">
      <c r="A32" s="3"/>
      <c r="B32" s="10"/>
      <c r="C32" s="144" t="s">
        <v>176</v>
      </c>
      <c r="D32" s="145"/>
      <c r="E32" s="142"/>
      <c r="F32" s="143"/>
      <c r="G32" s="119" t="s">
        <v>179</v>
      </c>
      <c r="H32" s="120"/>
      <c r="I32" s="136" t="s">
        <v>180</v>
      </c>
      <c r="J32" s="121"/>
      <c r="K32" s="137" t="s">
        <v>182</v>
      </c>
      <c r="L32" s="138"/>
      <c r="M32" s="139" t="s">
        <v>183</v>
      </c>
      <c r="N32" s="140"/>
      <c r="O32" s="141" t="s">
        <v>184</v>
      </c>
      <c r="P32" s="122"/>
      <c r="Q32" s="102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11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</row>
    <row r="33" spans="1:50" ht="9" customHeight="1" x14ac:dyDescent="0.35">
      <c r="A33" s="3"/>
      <c r="B33" s="10"/>
      <c r="C33" s="102"/>
      <c r="D33" s="102"/>
      <c r="E33" s="102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11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</row>
    <row r="34" spans="1:50" ht="62.4" customHeight="1" x14ac:dyDescent="0.35">
      <c r="A34" s="3"/>
      <c r="B34" s="10"/>
      <c r="C34" s="144" t="s">
        <v>181</v>
      </c>
      <c r="D34" s="143"/>
      <c r="E34" s="107" t="s">
        <v>170</v>
      </c>
      <c r="F34" s="108"/>
      <c r="G34" s="109" t="s">
        <v>169</v>
      </c>
      <c r="H34" s="110"/>
      <c r="I34" s="111" t="s">
        <v>173</v>
      </c>
      <c r="J34" s="112"/>
      <c r="K34" s="113" t="s">
        <v>172</v>
      </c>
      <c r="L34" s="114"/>
      <c r="M34" s="115" t="s">
        <v>171</v>
      </c>
      <c r="N34" s="116"/>
      <c r="O34" s="117" t="s">
        <v>168</v>
      </c>
      <c r="P34" s="118"/>
      <c r="Q34" s="102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11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</row>
    <row r="35" spans="1:50" ht="14.25" customHeight="1" x14ac:dyDescent="0.35">
      <c r="A35" s="3"/>
      <c r="B35" s="10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11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</row>
    <row r="36" spans="1:50" ht="14.25" customHeight="1" x14ac:dyDescent="0.35">
      <c r="A36" s="3"/>
      <c r="B36" s="10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11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</row>
    <row r="37" spans="1:50" s="98" customFormat="1" ht="14.25" customHeight="1" x14ac:dyDescent="0.35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7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</row>
    <row r="38" spans="1:50" s="98" customFormat="1" ht="14.25" customHeight="1" x14ac:dyDescent="0.35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7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</row>
    <row r="39" spans="1:50" s="98" customFormat="1" ht="14.25" customHeight="1" x14ac:dyDescent="0.35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96"/>
      <c r="N39" s="96"/>
      <c r="O39" s="96"/>
      <c r="P39" s="96"/>
      <c r="Q39" s="96"/>
      <c r="R39" s="96"/>
      <c r="S39" s="96"/>
      <c r="T39" s="96"/>
      <c r="U39" s="96"/>
      <c r="V39" s="96"/>
      <c r="W39" s="96"/>
      <c r="X39" s="96"/>
      <c r="Y39" s="96"/>
      <c r="Z39" s="96"/>
      <c r="AA39" s="96"/>
      <c r="AB39" s="96"/>
      <c r="AC39" s="96"/>
      <c r="AD39" s="96"/>
      <c r="AE39" s="96"/>
      <c r="AF39" s="97"/>
      <c r="AG39" s="96"/>
      <c r="AH39" s="96"/>
      <c r="AI39" s="96"/>
      <c r="AJ39" s="96"/>
      <c r="AK39" s="96"/>
      <c r="AL39" s="96"/>
      <c r="AM39" s="96"/>
      <c r="AN39" s="96"/>
      <c r="AO39" s="96"/>
      <c r="AP39" s="96"/>
      <c r="AQ39" s="96"/>
      <c r="AR39" s="96"/>
      <c r="AS39" s="96"/>
      <c r="AT39" s="96"/>
      <c r="AU39" s="96"/>
      <c r="AV39" s="96"/>
      <c r="AW39" s="96"/>
      <c r="AX39" s="96"/>
    </row>
    <row r="40" spans="1:50" s="98" customFormat="1" ht="14.25" customHeight="1" x14ac:dyDescent="0.35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  <c r="L40" s="96"/>
      <c r="M40" s="96"/>
      <c r="N40" s="96"/>
      <c r="O40" s="96"/>
      <c r="P40" s="96"/>
      <c r="Q40" s="96"/>
      <c r="R40" s="96"/>
      <c r="S40" s="96"/>
      <c r="T40" s="96"/>
      <c r="U40" s="96"/>
      <c r="V40" s="96"/>
      <c r="W40" s="96"/>
      <c r="X40" s="96"/>
      <c r="Y40" s="96"/>
      <c r="Z40" s="96"/>
      <c r="AA40" s="96"/>
      <c r="AB40" s="96"/>
      <c r="AC40" s="96"/>
      <c r="AD40" s="96"/>
      <c r="AE40" s="96"/>
      <c r="AF40" s="97"/>
      <c r="AG40" s="96"/>
      <c r="AH40" s="96"/>
      <c r="AI40" s="96"/>
      <c r="AJ40" s="96"/>
      <c r="AK40" s="96"/>
      <c r="AL40" s="96"/>
      <c r="AM40" s="96"/>
      <c r="AN40" s="96"/>
      <c r="AO40" s="96"/>
      <c r="AP40" s="96"/>
      <c r="AQ40" s="96"/>
      <c r="AR40" s="96"/>
      <c r="AS40" s="96"/>
      <c r="AT40" s="96"/>
      <c r="AU40" s="96"/>
      <c r="AV40" s="96"/>
      <c r="AW40" s="96"/>
      <c r="AX40" s="96"/>
    </row>
    <row r="41" spans="1:50" s="98" customFormat="1" ht="14.25" customHeight="1" x14ac:dyDescent="0.35">
      <c r="A41" s="96"/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7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</row>
    <row r="42" spans="1:50" s="98" customFormat="1" ht="14.25" customHeight="1" x14ac:dyDescent="0.35">
      <c r="A42" s="96"/>
      <c r="B42" s="96"/>
      <c r="C42" s="96"/>
      <c r="D42" s="96"/>
      <c r="E42" s="96"/>
      <c r="F42" s="96"/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7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</row>
    <row r="43" spans="1:50" s="98" customFormat="1" ht="14.25" customHeight="1" x14ac:dyDescent="0.35">
      <c r="A43" s="96"/>
      <c r="B43" s="96"/>
      <c r="C43" s="96"/>
      <c r="D43" s="96"/>
      <c r="E43" s="96"/>
      <c r="F43" s="96"/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7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</row>
    <row r="44" spans="1:50" s="98" customFormat="1" ht="14.25" customHeight="1" x14ac:dyDescent="0.35">
      <c r="A44" s="96"/>
      <c r="B44" s="96"/>
      <c r="C44" s="96"/>
      <c r="D44" s="96"/>
      <c r="E44" s="96"/>
      <c r="F44" s="96"/>
      <c r="G44" s="96"/>
      <c r="H44" s="96"/>
      <c r="I44" s="96"/>
      <c r="J44" s="96"/>
      <c r="K44" s="96"/>
      <c r="L44" s="96"/>
      <c r="M44" s="96"/>
      <c r="N44" s="96"/>
      <c r="O44" s="96"/>
      <c r="P44" s="96"/>
      <c r="Q44" s="96"/>
      <c r="R44" s="96"/>
      <c r="S44" s="96"/>
      <c r="T44" s="96"/>
      <c r="U44" s="96"/>
      <c r="V44" s="96"/>
      <c r="W44" s="96"/>
      <c r="X44" s="96"/>
      <c r="Y44" s="96"/>
      <c r="Z44" s="96"/>
      <c r="AA44" s="96"/>
      <c r="AB44" s="96"/>
      <c r="AC44" s="96"/>
      <c r="AD44" s="96"/>
      <c r="AE44" s="96"/>
      <c r="AF44" s="97"/>
      <c r="AG44" s="96"/>
      <c r="AH44" s="96"/>
      <c r="AI44" s="96"/>
      <c r="AJ44" s="96"/>
      <c r="AK44" s="96"/>
      <c r="AL44" s="96"/>
      <c r="AM44" s="96"/>
      <c r="AN44" s="96"/>
      <c r="AO44" s="96"/>
      <c r="AP44" s="96"/>
      <c r="AQ44" s="96"/>
      <c r="AR44" s="96"/>
      <c r="AS44" s="96"/>
      <c r="AT44" s="96"/>
      <c r="AU44" s="96"/>
      <c r="AV44" s="96"/>
      <c r="AW44" s="96"/>
      <c r="AX44" s="96"/>
    </row>
    <row r="45" spans="1:50" s="98" customFormat="1" ht="14.25" customHeight="1" x14ac:dyDescent="0.35">
      <c r="A45" s="96"/>
      <c r="B45" s="96"/>
      <c r="C45" s="96"/>
      <c r="D45" s="96"/>
      <c r="E45" s="96"/>
      <c r="F45" s="96"/>
      <c r="G45" s="96"/>
      <c r="H45" s="96"/>
      <c r="I45" s="96"/>
      <c r="J45" s="96"/>
      <c r="K45" s="96"/>
      <c r="L45" s="96"/>
      <c r="M45" s="96"/>
      <c r="N45" s="96"/>
      <c r="O45" s="96"/>
      <c r="P45" s="96"/>
      <c r="Q45" s="96"/>
      <c r="R45" s="96"/>
      <c r="S45" s="96"/>
      <c r="T45" s="96"/>
      <c r="U45" s="96"/>
      <c r="V45" s="96"/>
      <c r="W45" s="96"/>
      <c r="X45" s="96"/>
      <c r="Y45" s="96"/>
      <c r="Z45" s="96"/>
      <c r="AA45" s="96"/>
      <c r="AB45" s="96"/>
      <c r="AC45" s="96"/>
      <c r="AD45" s="96"/>
      <c r="AE45" s="96"/>
      <c r="AF45" s="97"/>
      <c r="AG45" s="96"/>
      <c r="AH45" s="96"/>
      <c r="AI45" s="96"/>
      <c r="AJ45" s="96"/>
      <c r="AK45" s="96"/>
      <c r="AL45" s="96"/>
      <c r="AM45" s="96"/>
      <c r="AN45" s="96"/>
      <c r="AO45" s="96"/>
      <c r="AP45" s="96"/>
      <c r="AQ45" s="96"/>
      <c r="AR45" s="96"/>
      <c r="AS45" s="96"/>
      <c r="AT45" s="96"/>
      <c r="AU45" s="96"/>
      <c r="AV45" s="96"/>
      <c r="AW45" s="96"/>
      <c r="AX45" s="96"/>
    </row>
    <row r="46" spans="1:50" s="98" customFormat="1" ht="14.25" customHeight="1" x14ac:dyDescent="0.35">
      <c r="A46" s="96"/>
      <c r="B46" s="96"/>
      <c r="C46" s="96"/>
      <c r="D46" s="96"/>
      <c r="E46" s="96"/>
      <c r="F46" s="96"/>
      <c r="G46" s="96"/>
      <c r="H46" s="96"/>
      <c r="I46" s="96"/>
      <c r="J46" s="96"/>
      <c r="K46" s="96"/>
      <c r="L46" s="96"/>
      <c r="M46" s="96"/>
      <c r="N46" s="96"/>
      <c r="O46" s="96"/>
      <c r="P46" s="96"/>
      <c r="Q46" s="96"/>
      <c r="R46" s="96"/>
      <c r="S46" s="96"/>
      <c r="T46" s="96"/>
      <c r="U46" s="96"/>
      <c r="V46" s="96"/>
      <c r="W46" s="96"/>
      <c r="X46" s="96"/>
      <c r="Y46" s="96"/>
      <c r="Z46" s="96"/>
      <c r="AA46" s="96"/>
      <c r="AB46" s="96"/>
      <c r="AC46" s="96"/>
      <c r="AD46" s="96"/>
      <c r="AE46" s="96"/>
      <c r="AF46" s="97"/>
      <c r="AG46" s="96"/>
      <c r="AH46" s="96"/>
      <c r="AI46" s="96"/>
      <c r="AJ46" s="96"/>
      <c r="AK46" s="96"/>
      <c r="AL46" s="96"/>
      <c r="AM46" s="96"/>
      <c r="AN46" s="96"/>
      <c r="AO46" s="96"/>
      <c r="AP46" s="96"/>
      <c r="AQ46" s="96"/>
      <c r="AR46" s="96"/>
      <c r="AS46" s="96"/>
      <c r="AT46" s="96"/>
      <c r="AU46" s="96"/>
      <c r="AV46" s="96"/>
      <c r="AW46" s="96"/>
      <c r="AX46" s="96"/>
    </row>
    <row r="47" spans="1:50" s="98" customFormat="1" ht="14.25" customHeight="1" x14ac:dyDescent="0.35">
      <c r="A47" s="96"/>
      <c r="B47" s="96"/>
      <c r="C47" s="96"/>
      <c r="D47" s="96"/>
      <c r="E47" s="96"/>
      <c r="F47" s="96"/>
      <c r="G47" s="96"/>
      <c r="H47" s="96"/>
      <c r="I47" s="96"/>
      <c r="J47" s="96"/>
      <c r="K47" s="96"/>
      <c r="L47" s="96"/>
      <c r="M47" s="96"/>
      <c r="N47" s="96"/>
      <c r="O47" s="96"/>
      <c r="P47" s="96"/>
      <c r="Q47" s="96"/>
      <c r="R47" s="96"/>
      <c r="S47" s="96"/>
      <c r="T47" s="96"/>
      <c r="U47" s="96"/>
      <c r="V47" s="96"/>
      <c r="W47" s="96"/>
      <c r="X47" s="96"/>
      <c r="Y47" s="96"/>
      <c r="Z47" s="96"/>
      <c r="AA47" s="96"/>
      <c r="AB47" s="96"/>
      <c r="AC47" s="96"/>
      <c r="AD47" s="96"/>
      <c r="AE47" s="96"/>
      <c r="AF47" s="97"/>
      <c r="AG47" s="96"/>
      <c r="AH47" s="96"/>
      <c r="AI47" s="96"/>
      <c r="AJ47" s="96"/>
      <c r="AK47" s="96"/>
      <c r="AL47" s="96"/>
      <c r="AM47" s="96"/>
      <c r="AN47" s="96"/>
      <c r="AO47" s="96"/>
      <c r="AP47" s="96"/>
      <c r="AQ47" s="96"/>
      <c r="AR47" s="96"/>
      <c r="AS47" s="96"/>
      <c r="AT47" s="96"/>
      <c r="AU47" s="96"/>
      <c r="AV47" s="96"/>
      <c r="AW47" s="96"/>
      <c r="AX47" s="96"/>
    </row>
    <row r="48" spans="1:50" s="98" customFormat="1" ht="14.25" customHeight="1" x14ac:dyDescent="0.35">
      <c r="A48" s="96"/>
      <c r="B48" s="96"/>
      <c r="C48" s="96"/>
      <c r="D48" s="96"/>
      <c r="E48" s="96"/>
      <c r="F48" s="96"/>
      <c r="G48" s="96"/>
      <c r="H48" s="96"/>
      <c r="I48" s="96"/>
      <c r="J48" s="96"/>
      <c r="K48" s="96"/>
      <c r="L48" s="96"/>
      <c r="M48" s="96"/>
      <c r="N48" s="96"/>
      <c r="O48" s="96"/>
      <c r="P48" s="96"/>
      <c r="Q48" s="96"/>
      <c r="R48" s="96"/>
      <c r="S48" s="96"/>
      <c r="T48" s="96"/>
      <c r="U48" s="96"/>
      <c r="V48" s="96"/>
      <c r="W48" s="96"/>
      <c r="X48" s="96"/>
      <c r="Y48" s="96"/>
      <c r="Z48" s="96"/>
      <c r="AA48" s="96"/>
      <c r="AB48" s="96"/>
      <c r="AC48" s="96"/>
      <c r="AD48" s="96"/>
      <c r="AE48" s="96"/>
      <c r="AF48" s="97"/>
      <c r="AG48" s="96"/>
      <c r="AH48" s="96"/>
      <c r="AI48" s="96"/>
      <c r="AJ48" s="96"/>
      <c r="AK48" s="96"/>
      <c r="AL48" s="96"/>
      <c r="AM48" s="96"/>
      <c r="AN48" s="96"/>
      <c r="AO48" s="96"/>
      <c r="AP48" s="96"/>
      <c r="AQ48" s="96"/>
      <c r="AR48" s="96"/>
      <c r="AS48" s="96"/>
      <c r="AT48" s="96"/>
      <c r="AU48" s="96"/>
      <c r="AV48" s="96"/>
      <c r="AW48" s="96"/>
      <c r="AX48" s="96"/>
    </row>
    <row r="49" spans="1:50" s="98" customFormat="1" ht="14.25" customHeight="1" x14ac:dyDescent="0.35">
      <c r="A49" s="96"/>
      <c r="B49" s="96"/>
      <c r="C49" s="96"/>
      <c r="D49" s="96"/>
      <c r="E49" s="96"/>
      <c r="F49" s="96"/>
      <c r="G49" s="96"/>
      <c r="H49" s="96"/>
      <c r="I49" s="96"/>
      <c r="J49" s="96"/>
      <c r="K49" s="96"/>
      <c r="L49" s="96"/>
      <c r="M49" s="96"/>
      <c r="N49" s="96"/>
      <c r="O49" s="96"/>
      <c r="P49" s="96"/>
      <c r="Q49" s="96"/>
      <c r="R49" s="96"/>
      <c r="S49" s="96"/>
      <c r="T49" s="96"/>
      <c r="U49" s="96"/>
      <c r="V49" s="96"/>
      <c r="W49" s="96"/>
      <c r="X49" s="96"/>
      <c r="Y49" s="96"/>
      <c r="Z49" s="96"/>
      <c r="AA49" s="96"/>
      <c r="AB49" s="96"/>
      <c r="AC49" s="96"/>
      <c r="AD49" s="96"/>
      <c r="AE49" s="96"/>
      <c r="AF49" s="97"/>
      <c r="AG49" s="96"/>
      <c r="AH49" s="96"/>
      <c r="AI49" s="96"/>
      <c r="AJ49" s="96"/>
      <c r="AK49" s="96"/>
      <c r="AL49" s="96"/>
      <c r="AM49" s="96"/>
      <c r="AN49" s="96"/>
      <c r="AO49" s="96"/>
      <c r="AP49" s="96"/>
      <c r="AQ49" s="96"/>
      <c r="AR49" s="96"/>
      <c r="AS49" s="96"/>
      <c r="AT49" s="96"/>
      <c r="AU49" s="96"/>
      <c r="AV49" s="96"/>
      <c r="AW49" s="96"/>
      <c r="AX49" s="96"/>
    </row>
    <row r="50" spans="1:50" s="98" customFormat="1" ht="14.25" customHeight="1" x14ac:dyDescent="0.35">
      <c r="A50" s="96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96"/>
      <c r="N50" s="96"/>
      <c r="O50" s="96"/>
      <c r="P50" s="96"/>
      <c r="Q50" s="96"/>
      <c r="R50" s="96"/>
      <c r="S50" s="96"/>
      <c r="T50" s="96"/>
      <c r="U50" s="96"/>
      <c r="V50" s="96"/>
      <c r="W50" s="96"/>
      <c r="X50" s="96"/>
      <c r="Y50" s="96"/>
      <c r="Z50" s="96"/>
      <c r="AA50" s="96"/>
      <c r="AB50" s="96"/>
      <c r="AC50" s="96"/>
      <c r="AD50" s="96"/>
      <c r="AE50" s="96"/>
      <c r="AF50" s="97"/>
      <c r="AG50" s="96"/>
      <c r="AH50" s="96"/>
      <c r="AI50" s="96"/>
      <c r="AJ50" s="96"/>
      <c r="AK50" s="96"/>
      <c r="AL50" s="96"/>
      <c r="AM50" s="96"/>
      <c r="AN50" s="96"/>
      <c r="AO50" s="96"/>
      <c r="AP50" s="96"/>
      <c r="AQ50" s="96"/>
      <c r="AR50" s="96"/>
      <c r="AS50" s="96"/>
      <c r="AT50" s="96"/>
      <c r="AU50" s="96"/>
      <c r="AV50" s="96"/>
      <c r="AW50" s="96"/>
      <c r="AX50" s="96"/>
    </row>
    <row r="51" spans="1:50" s="98" customFormat="1" ht="14.25" customHeight="1" x14ac:dyDescent="0.35">
      <c r="A51" s="96"/>
      <c r="B51" s="96"/>
      <c r="C51" s="96"/>
      <c r="D51" s="96"/>
      <c r="E51" s="96"/>
      <c r="F51" s="96"/>
      <c r="G51" s="96"/>
      <c r="H51" s="96"/>
      <c r="I51" s="96"/>
      <c r="J51" s="96"/>
      <c r="K51" s="96"/>
      <c r="L51" s="96"/>
      <c r="M51" s="96"/>
      <c r="N51" s="96"/>
      <c r="O51" s="96"/>
      <c r="P51" s="96"/>
      <c r="Q51" s="96"/>
      <c r="R51" s="96"/>
      <c r="S51" s="96"/>
      <c r="T51" s="96"/>
      <c r="U51" s="96"/>
      <c r="V51" s="96"/>
      <c r="W51" s="96"/>
      <c r="X51" s="96"/>
      <c r="Y51" s="96"/>
      <c r="Z51" s="96"/>
      <c r="AA51" s="96"/>
      <c r="AB51" s="96"/>
      <c r="AC51" s="96"/>
      <c r="AD51" s="96"/>
      <c r="AE51" s="96"/>
      <c r="AF51" s="97"/>
      <c r="AG51" s="96"/>
      <c r="AH51" s="96"/>
      <c r="AI51" s="96"/>
      <c r="AJ51" s="96"/>
      <c r="AK51" s="96"/>
      <c r="AL51" s="96"/>
      <c r="AM51" s="96"/>
      <c r="AN51" s="96"/>
      <c r="AO51" s="96"/>
      <c r="AP51" s="96"/>
      <c r="AQ51" s="96"/>
      <c r="AR51" s="96"/>
      <c r="AS51" s="96"/>
      <c r="AT51" s="96"/>
      <c r="AU51" s="96"/>
      <c r="AV51" s="96"/>
      <c r="AW51" s="96"/>
      <c r="AX51" s="96"/>
    </row>
    <row r="52" spans="1:50" s="98" customFormat="1" ht="14.25" customHeight="1" x14ac:dyDescent="0.35">
      <c r="A52" s="96"/>
      <c r="B52" s="96"/>
      <c r="C52" s="96"/>
      <c r="D52" s="96"/>
      <c r="E52" s="96"/>
      <c r="F52" s="96"/>
      <c r="G52" s="96"/>
      <c r="H52" s="96"/>
      <c r="I52" s="96"/>
      <c r="J52" s="96"/>
      <c r="K52" s="96"/>
      <c r="L52" s="96"/>
      <c r="M52" s="96"/>
      <c r="N52" s="96"/>
      <c r="O52" s="96"/>
      <c r="P52" s="96"/>
      <c r="Q52" s="96"/>
      <c r="R52" s="96"/>
      <c r="S52" s="96"/>
      <c r="T52" s="96"/>
      <c r="U52" s="96"/>
      <c r="V52" s="96"/>
      <c r="W52" s="96"/>
      <c r="X52" s="96"/>
      <c r="Y52" s="96"/>
      <c r="Z52" s="96"/>
      <c r="AA52" s="96"/>
      <c r="AB52" s="96"/>
      <c r="AC52" s="96"/>
      <c r="AD52" s="96"/>
      <c r="AE52" s="96"/>
      <c r="AF52" s="97"/>
      <c r="AG52" s="96"/>
      <c r="AH52" s="96"/>
      <c r="AI52" s="96"/>
      <c r="AJ52" s="96"/>
      <c r="AK52" s="96"/>
      <c r="AL52" s="96"/>
      <c r="AM52" s="96"/>
      <c r="AN52" s="96"/>
      <c r="AO52" s="96"/>
      <c r="AP52" s="96"/>
      <c r="AQ52" s="96"/>
      <c r="AR52" s="96"/>
      <c r="AS52" s="96"/>
      <c r="AT52" s="96"/>
      <c r="AU52" s="96"/>
      <c r="AV52" s="96"/>
      <c r="AW52" s="96"/>
      <c r="AX52" s="96"/>
    </row>
    <row r="53" spans="1:50" ht="14.25" customHeight="1" x14ac:dyDescent="0.3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11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</row>
    <row r="54" spans="1:50" ht="14.25" customHeight="1" x14ac:dyDescent="0.3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11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</row>
    <row r="55" spans="1:50" ht="14.25" customHeight="1" x14ac:dyDescent="0.3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11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</row>
    <row r="56" spans="1:50" ht="14.25" customHeight="1" x14ac:dyDescent="0.3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11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</row>
    <row r="57" spans="1:50" ht="14.25" customHeight="1" x14ac:dyDescent="0.3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11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</row>
    <row r="58" spans="1:50" ht="14.25" customHeight="1" x14ac:dyDescent="0.3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11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</row>
    <row r="59" spans="1:50" ht="14.25" customHeight="1" x14ac:dyDescent="0.3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11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</row>
    <row r="60" spans="1:50" ht="14.25" customHeight="1" x14ac:dyDescent="0.3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11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</row>
    <row r="61" spans="1:50" ht="14.25" customHeight="1" x14ac:dyDescent="0.3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11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</row>
    <row r="62" spans="1:50" ht="14.25" customHeight="1" x14ac:dyDescent="0.3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11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</row>
    <row r="63" spans="1:50" ht="14.25" customHeight="1" x14ac:dyDescent="0.3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11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</row>
    <row r="64" spans="1:50" ht="14.25" customHeight="1" x14ac:dyDescent="0.3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11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</row>
    <row r="65" spans="1:50" ht="14.25" customHeight="1" x14ac:dyDescent="0.3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11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</row>
    <row r="66" spans="1:50" ht="14.25" customHeight="1" x14ac:dyDescent="0.3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11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</row>
    <row r="67" spans="1:50" ht="14.25" customHeight="1" x14ac:dyDescent="0.3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11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</row>
    <row r="68" spans="1:50" ht="14.25" customHeight="1" x14ac:dyDescent="0.3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11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</row>
    <row r="69" spans="1:50" ht="14.25" customHeight="1" x14ac:dyDescent="0.3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11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</row>
    <row r="70" spans="1:50" ht="14.25" customHeight="1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11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</row>
    <row r="71" spans="1:50" ht="14.25" customHeight="1" x14ac:dyDescent="0.3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11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</row>
    <row r="72" spans="1:50" ht="14.25" customHeight="1" x14ac:dyDescent="0.3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11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</row>
    <row r="73" spans="1:50" ht="14.25" customHeight="1" x14ac:dyDescent="0.3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11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</row>
    <row r="74" spans="1:50" ht="14.25" customHeight="1" x14ac:dyDescent="0.3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11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</row>
    <row r="75" spans="1:50" ht="14.25" customHeight="1" x14ac:dyDescent="0.3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11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</row>
    <row r="76" spans="1:50" ht="14.25" customHeigh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11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</row>
    <row r="77" spans="1:50" ht="14.25" customHeight="1" x14ac:dyDescent="0.3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11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</row>
    <row r="78" spans="1:50" ht="14.25" customHeight="1" x14ac:dyDescent="0.3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11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</row>
    <row r="79" spans="1:50" ht="14.25" customHeight="1" x14ac:dyDescent="0.3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11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</row>
    <row r="80" spans="1:50" ht="14.25" customHeight="1" x14ac:dyDescent="0.3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11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</row>
    <row r="81" spans="1:50" ht="14.25" customHeight="1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11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</row>
    <row r="82" spans="1:50" ht="14.25" customHeight="1" x14ac:dyDescent="0.3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1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</row>
    <row r="83" spans="1:50" ht="14.25" customHeight="1" x14ac:dyDescent="0.3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1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</row>
    <row r="84" spans="1:50" ht="14.25" customHeight="1" x14ac:dyDescent="0.3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1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</row>
    <row r="85" spans="1:50" ht="14.25" customHeight="1" x14ac:dyDescent="0.3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1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</row>
    <row r="86" spans="1:50" ht="14.25" customHeight="1" x14ac:dyDescent="0.3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1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</row>
    <row r="87" spans="1:50" ht="14.25" customHeight="1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1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</row>
    <row r="88" spans="1:50" ht="14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1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</row>
    <row r="89" spans="1:50" ht="14.25" customHeight="1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1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</row>
    <row r="90" spans="1:50" ht="14.25" customHeight="1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1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</row>
    <row r="91" spans="1:50" ht="14.25" customHeight="1" x14ac:dyDescent="0.3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1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</row>
    <row r="92" spans="1:50" ht="14.25" customHeight="1" x14ac:dyDescent="0.3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1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</row>
    <row r="93" spans="1:50" ht="14.25" customHeight="1" x14ac:dyDescent="0.3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1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</row>
    <row r="94" spans="1:50" ht="14.25" customHeight="1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1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</row>
    <row r="95" spans="1:50" ht="14.25" customHeight="1" x14ac:dyDescent="0.3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1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</row>
    <row r="96" spans="1:50" ht="14.25" customHeight="1" x14ac:dyDescent="0.3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1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</row>
    <row r="97" spans="1:50" ht="14.25" customHeight="1" x14ac:dyDescent="0.3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11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</row>
    <row r="98" spans="1:50" ht="14.25" customHeight="1" x14ac:dyDescent="0.3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11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</row>
    <row r="99" spans="1:50" ht="14.25" customHeight="1" x14ac:dyDescent="0.3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11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</row>
    <row r="100" spans="1:50" ht="14.25" customHeight="1" x14ac:dyDescent="0.3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11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</row>
    <row r="101" spans="1:50" ht="14.25" customHeight="1" x14ac:dyDescent="0.3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11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</row>
    <row r="102" spans="1:50" ht="14.25" customHeight="1" x14ac:dyDescent="0.3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11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</row>
    <row r="103" spans="1:50" ht="14.25" customHeight="1" x14ac:dyDescent="0.3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11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</row>
    <row r="104" spans="1:50" ht="14.25" customHeight="1" x14ac:dyDescent="0.3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11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</row>
    <row r="105" spans="1:50" ht="14.25" customHeight="1" x14ac:dyDescent="0.3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1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</row>
    <row r="106" spans="1:50" ht="14.25" customHeight="1" x14ac:dyDescent="0.3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1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</row>
    <row r="107" spans="1:50" ht="14.25" customHeight="1" x14ac:dyDescent="0.3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1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</row>
    <row r="108" spans="1:50" ht="14.25" customHeight="1" x14ac:dyDescent="0.3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1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</row>
    <row r="109" spans="1:50" ht="14.25" customHeight="1" x14ac:dyDescent="0.3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1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</row>
    <row r="110" spans="1:50" ht="14.25" customHeight="1" x14ac:dyDescent="0.3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1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</row>
    <row r="111" spans="1:50" ht="14.25" customHeight="1" x14ac:dyDescent="0.3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1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</row>
    <row r="112" spans="1:50" ht="14.25" customHeight="1" x14ac:dyDescent="0.3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1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</row>
    <row r="113" spans="1:50" ht="14.25" customHeight="1" x14ac:dyDescent="0.3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1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</row>
    <row r="114" spans="1:50" ht="14.25" customHeight="1" x14ac:dyDescent="0.3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1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</row>
    <row r="115" spans="1:50" ht="14.25" customHeight="1" x14ac:dyDescent="0.3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1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</row>
    <row r="116" spans="1:50" ht="14.25" customHeight="1" x14ac:dyDescent="0.3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1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</row>
    <row r="117" spans="1:50" ht="14.25" customHeight="1" x14ac:dyDescent="0.3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1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</row>
    <row r="118" spans="1:50" ht="14.25" customHeight="1" x14ac:dyDescent="0.3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1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</row>
    <row r="119" spans="1:50" ht="14.25" customHeight="1" x14ac:dyDescent="0.3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1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</row>
    <row r="120" spans="1:50" ht="14.25" customHeight="1" x14ac:dyDescent="0.3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1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</row>
    <row r="121" spans="1:50" ht="14.25" customHeight="1" x14ac:dyDescent="0.3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1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</row>
    <row r="122" spans="1:50" ht="14.25" customHeight="1" x14ac:dyDescent="0.3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1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</row>
    <row r="123" spans="1:50" ht="14.25" customHeight="1" x14ac:dyDescent="0.3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11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</row>
    <row r="124" spans="1:50" ht="14.25" customHeight="1" x14ac:dyDescent="0.3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11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</row>
    <row r="125" spans="1:50" ht="14.25" customHeight="1" x14ac:dyDescent="0.3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11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</row>
    <row r="126" spans="1:50" ht="14.25" customHeight="1" x14ac:dyDescent="0.3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11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</row>
    <row r="127" spans="1:50" ht="14.25" customHeight="1" x14ac:dyDescent="0.3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11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</row>
    <row r="128" spans="1:50" ht="14.25" customHeight="1" x14ac:dyDescent="0.3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11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</row>
    <row r="129" spans="1:50" ht="14.25" customHeight="1" x14ac:dyDescent="0.3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11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</row>
    <row r="130" spans="1:50" ht="14.25" customHeight="1" x14ac:dyDescent="0.3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11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</row>
    <row r="131" spans="1:50" ht="14.25" customHeight="1" x14ac:dyDescent="0.3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11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</row>
    <row r="132" spans="1:50" ht="14.25" customHeight="1" x14ac:dyDescent="0.3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11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</row>
    <row r="133" spans="1:50" ht="14.25" customHeight="1" x14ac:dyDescent="0.3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11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</row>
    <row r="134" spans="1:50" ht="14.25" customHeight="1" x14ac:dyDescent="0.3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11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</row>
    <row r="135" spans="1:50" ht="14.25" customHeight="1" x14ac:dyDescent="0.3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11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</row>
    <row r="136" spans="1:50" ht="14.25" customHeight="1" x14ac:dyDescent="0.3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11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</row>
    <row r="137" spans="1:50" ht="14.25" customHeight="1" x14ac:dyDescent="0.3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11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</row>
    <row r="138" spans="1:50" ht="14.25" customHeight="1" x14ac:dyDescent="0.3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11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</row>
    <row r="139" spans="1:50" ht="14.25" customHeight="1" x14ac:dyDescent="0.3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11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</row>
    <row r="140" spans="1:50" ht="14.25" customHeight="1" x14ac:dyDescent="0.3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11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</row>
    <row r="141" spans="1:50" ht="14.25" customHeight="1" x14ac:dyDescent="0.3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11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</row>
    <row r="142" spans="1:50" ht="14.25" customHeight="1" x14ac:dyDescent="0.3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11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</row>
    <row r="143" spans="1:50" ht="14.25" customHeight="1" x14ac:dyDescent="0.3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11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</row>
    <row r="144" spans="1:50" ht="14.25" customHeight="1" x14ac:dyDescent="0.3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11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</row>
    <row r="145" spans="1:50" ht="14.25" customHeight="1" x14ac:dyDescent="0.3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11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</row>
    <row r="146" spans="1:50" ht="14.25" customHeight="1" x14ac:dyDescent="0.3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11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</row>
    <row r="147" spans="1:50" ht="14.25" customHeight="1" x14ac:dyDescent="0.3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11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</row>
    <row r="148" spans="1:50" ht="14.25" customHeight="1" x14ac:dyDescent="0.3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11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</row>
    <row r="149" spans="1:50" ht="14.25" customHeight="1" x14ac:dyDescent="0.3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11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</row>
    <row r="150" spans="1:50" ht="14.25" customHeight="1" x14ac:dyDescent="0.3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11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</row>
    <row r="151" spans="1:50" ht="14.25" customHeight="1" x14ac:dyDescent="0.3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11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</row>
    <row r="152" spans="1:50" ht="14.25" customHeight="1" x14ac:dyDescent="0.3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11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</row>
    <row r="153" spans="1:50" ht="14.25" customHeight="1" x14ac:dyDescent="0.3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11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</row>
    <row r="154" spans="1:50" ht="14.25" customHeight="1" x14ac:dyDescent="0.3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11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</row>
    <row r="155" spans="1:50" ht="14.25" customHeight="1" x14ac:dyDescent="0.3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11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</row>
    <row r="156" spans="1:50" ht="14.25" customHeight="1" x14ac:dyDescent="0.3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11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</row>
    <row r="157" spans="1:50" ht="14.25" customHeight="1" x14ac:dyDescent="0.3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11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</row>
    <row r="158" spans="1:50" ht="14.25" customHeight="1" x14ac:dyDescent="0.3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11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</row>
    <row r="159" spans="1:50" ht="14.25" customHeight="1" x14ac:dyDescent="0.3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11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</row>
    <row r="160" spans="1:50" ht="14.25" customHeight="1" x14ac:dyDescent="0.3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11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</row>
    <row r="161" spans="1:50" ht="14.25" customHeight="1" x14ac:dyDescent="0.3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11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</row>
    <row r="162" spans="1:50" ht="14.25" customHeight="1" x14ac:dyDescent="0.3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11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</row>
    <row r="163" spans="1:50" ht="14.25" customHeight="1" x14ac:dyDescent="0.3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11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</row>
    <row r="164" spans="1:50" ht="14.25" customHeight="1" x14ac:dyDescent="0.3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11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</row>
    <row r="165" spans="1:50" ht="14.25" customHeight="1" x14ac:dyDescent="0.3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11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</row>
    <row r="166" spans="1:50" ht="14.25" customHeight="1" x14ac:dyDescent="0.3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11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</row>
    <row r="167" spans="1:50" ht="14.25" customHeight="1" x14ac:dyDescent="0.3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11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</row>
    <row r="168" spans="1:50" ht="14.25" customHeight="1" x14ac:dyDescent="0.3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11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</row>
    <row r="169" spans="1:50" ht="14.25" customHeight="1" x14ac:dyDescent="0.3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11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</row>
    <row r="170" spans="1:50" ht="14.25" customHeight="1" x14ac:dyDescent="0.3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1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</row>
    <row r="171" spans="1:50" ht="14.25" customHeight="1" x14ac:dyDescent="0.3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11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</row>
    <row r="172" spans="1:50" ht="14.25" customHeight="1" x14ac:dyDescent="0.3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11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</row>
    <row r="173" spans="1:50" ht="14.25" customHeight="1" x14ac:dyDescent="0.3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11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</row>
    <row r="174" spans="1:50" ht="14.25" customHeight="1" x14ac:dyDescent="0.3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11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</row>
    <row r="175" spans="1:50" ht="14.25" customHeight="1" x14ac:dyDescent="0.3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11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</row>
    <row r="176" spans="1:50" ht="14.25" customHeight="1" x14ac:dyDescent="0.3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11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</row>
    <row r="177" spans="1:50" ht="14.25" customHeight="1" x14ac:dyDescent="0.3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11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</row>
    <row r="178" spans="1:50" ht="14.25" customHeight="1" x14ac:dyDescent="0.3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11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</row>
    <row r="179" spans="1:50" ht="14.25" customHeight="1" x14ac:dyDescent="0.3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11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</row>
    <row r="180" spans="1:50" ht="14.25" customHeight="1" x14ac:dyDescent="0.3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11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</row>
    <row r="181" spans="1:50" ht="14.25" customHeight="1" x14ac:dyDescent="0.3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11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</row>
    <row r="182" spans="1:50" ht="14.25" customHeight="1" x14ac:dyDescent="0.3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11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</row>
    <row r="183" spans="1:50" ht="14.25" customHeight="1" x14ac:dyDescent="0.3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11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</row>
    <row r="184" spans="1:50" ht="14.25" customHeight="1" x14ac:dyDescent="0.3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11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</row>
    <row r="185" spans="1:50" ht="14.25" customHeight="1" x14ac:dyDescent="0.3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11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</row>
    <row r="186" spans="1:50" ht="14.25" customHeight="1" x14ac:dyDescent="0.3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11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</row>
    <row r="187" spans="1:50" ht="14.25" customHeight="1" x14ac:dyDescent="0.3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11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</row>
    <row r="188" spans="1:50" ht="14.25" customHeight="1" x14ac:dyDescent="0.3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11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</row>
    <row r="189" spans="1:50" ht="14.25" customHeight="1" x14ac:dyDescent="0.3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11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</row>
    <row r="190" spans="1:50" ht="14.25" customHeight="1" x14ac:dyDescent="0.3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11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</row>
    <row r="191" spans="1:50" ht="14.25" customHeight="1" x14ac:dyDescent="0.3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11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</row>
    <row r="192" spans="1:50" ht="14.25" customHeight="1" x14ac:dyDescent="0.3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11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</row>
    <row r="193" spans="1:50" ht="14.25" customHeight="1" x14ac:dyDescent="0.3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11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</row>
    <row r="194" spans="1:50" ht="14.25" customHeight="1" x14ac:dyDescent="0.3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11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</row>
    <row r="195" spans="1:50" ht="14.25" customHeight="1" x14ac:dyDescent="0.3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11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</row>
    <row r="196" spans="1:50" ht="14.25" customHeight="1" x14ac:dyDescent="0.3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11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</row>
    <row r="197" spans="1:50" ht="14.25" customHeight="1" x14ac:dyDescent="0.3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11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</row>
    <row r="198" spans="1:50" ht="14.25" customHeight="1" x14ac:dyDescent="0.3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11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</row>
    <row r="199" spans="1:50" ht="14.25" customHeight="1" x14ac:dyDescent="0.3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11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</row>
    <row r="200" spans="1:50" ht="14.25" customHeight="1" x14ac:dyDescent="0.3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11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</row>
    <row r="201" spans="1:50" ht="14.25" customHeight="1" x14ac:dyDescent="0.3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11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</row>
    <row r="202" spans="1:50" ht="14.25" customHeight="1" x14ac:dyDescent="0.3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11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</row>
    <row r="203" spans="1:50" ht="14.25" customHeight="1" x14ac:dyDescent="0.3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11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</row>
    <row r="204" spans="1:50" ht="14.25" customHeight="1" x14ac:dyDescent="0.3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11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</row>
    <row r="205" spans="1:50" ht="14.25" customHeight="1" x14ac:dyDescent="0.3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11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</row>
    <row r="206" spans="1:50" ht="14.25" customHeight="1" x14ac:dyDescent="0.3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11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</row>
    <row r="207" spans="1:50" ht="14.25" customHeight="1" x14ac:dyDescent="0.3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11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</row>
    <row r="208" spans="1:50" ht="14.25" customHeight="1" x14ac:dyDescent="0.3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11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</row>
    <row r="209" spans="1:50" ht="14.25" customHeight="1" x14ac:dyDescent="0.3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11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</row>
    <row r="210" spans="1:50" ht="14.25" customHeight="1" x14ac:dyDescent="0.3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11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</row>
    <row r="211" spans="1:50" ht="14.25" customHeight="1" x14ac:dyDescent="0.3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11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</row>
    <row r="212" spans="1:50" ht="14.25" customHeight="1" x14ac:dyDescent="0.3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11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</row>
    <row r="213" spans="1:50" ht="14.25" customHeight="1" x14ac:dyDescent="0.3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11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</row>
    <row r="214" spans="1:50" ht="14.25" customHeight="1" x14ac:dyDescent="0.3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11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</row>
    <row r="215" spans="1:50" ht="14.25" customHeight="1" x14ac:dyDescent="0.3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11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</row>
    <row r="216" spans="1:50" ht="14.25" customHeight="1" x14ac:dyDescent="0.3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11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</row>
    <row r="217" spans="1:50" ht="14.25" customHeight="1" x14ac:dyDescent="0.3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11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</row>
    <row r="218" spans="1:50" ht="14.25" customHeight="1" x14ac:dyDescent="0.3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11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</row>
    <row r="219" spans="1:50" ht="14.25" customHeight="1" x14ac:dyDescent="0.3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11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</row>
    <row r="220" spans="1:50" ht="14.25" customHeight="1" x14ac:dyDescent="0.3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11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</row>
    <row r="221" spans="1:50" ht="14.25" customHeight="1" x14ac:dyDescent="0.3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11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</row>
    <row r="222" spans="1:50" ht="14.25" customHeight="1" x14ac:dyDescent="0.3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11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</row>
    <row r="223" spans="1:50" ht="14.25" customHeight="1" x14ac:dyDescent="0.3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11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</row>
    <row r="224" spans="1:50" ht="14.25" customHeight="1" x14ac:dyDescent="0.3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11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</row>
    <row r="225" spans="1:50" ht="14.25" customHeight="1" x14ac:dyDescent="0.3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11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</row>
    <row r="226" spans="1:50" ht="14.25" customHeight="1" x14ac:dyDescent="0.3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11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</row>
    <row r="227" spans="1:50" ht="14.25" customHeight="1" x14ac:dyDescent="0.3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11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</row>
    <row r="228" spans="1:50" ht="14.25" customHeight="1" x14ac:dyDescent="0.3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11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</row>
    <row r="229" spans="1:50" ht="14.25" customHeight="1" x14ac:dyDescent="0.3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11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</row>
    <row r="230" spans="1:50" ht="14.25" customHeight="1" x14ac:dyDescent="0.3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11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</row>
    <row r="231" spans="1:50" ht="14.25" customHeight="1" x14ac:dyDescent="0.3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11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50" ht="14.25" customHeight="1" x14ac:dyDescent="0.3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11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</row>
    <row r="233" spans="1:50" ht="14.25" customHeight="1" x14ac:dyDescent="0.3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11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</row>
    <row r="234" spans="1:50" ht="14.25" customHeight="1" x14ac:dyDescent="0.3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11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</row>
    <row r="235" spans="1:50" ht="14.25" customHeight="1" x14ac:dyDescent="0.3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11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</row>
    <row r="236" spans="1:50" ht="14.25" customHeight="1" x14ac:dyDescent="0.3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11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</row>
    <row r="237" spans="1:50" ht="14.25" customHeight="1" x14ac:dyDescent="0.3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11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</row>
    <row r="238" spans="1:50" ht="14.25" customHeight="1" x14ac:dyDescent="0.3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11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</row>
    <row r="239" spans="1:50" ht="14.25" customHeight="1" x14ac:dyDescent="0.3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11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</row>
    <row r="240" spans="1:50" ht="14.25" customHeight="1" x14ac:dyDescent="0.3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11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</row>
    <row r="241" spans="1:50" ht="14.25" customHeight="1" x14ac:dyDescent="0.3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11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</row>
    <row r="242" spans="1:50" ht="14.25" customHeight="1" x14ac:dyDescent="0.3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11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50" ht="14.25" customHeight="1" x14ac:dyDescent="0.3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11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</row>
    <row r="244" spans="1:50" ht="14.25" customHeight="1" x14ac:dyDescent="0.3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11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</row>
    <row r="245" spans="1:50" ht="14.25" customHeight="1" x14ac:dyDescent="0.3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11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</row>
    <row r="246" spans="1:50" ht="14.25" customHeight="1" x14ac:dyDescent="0.3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11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</row>
    <row r="247" spans="1:50" ht="14.25" customHeight="1" x14ac:dyDescent="0.3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11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</row>
    <row r="248" spans="1:50" ht="14.25" customHeight="1" x14ac:dyDescent="0.3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11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</row>
    <row r="249" spans="1:50" ht="14.25" customHeight="1" x14ac:dyDescent="0.3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11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</row>
    <row r="250" spans="1:50" ht="14.25" customHeight="1" x14ac:dyDescent="0.3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11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</row>
    <row r="251" spans="1:50" ht="14.25" customHeight="1" x14ac:dyDescent="0.3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11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</row>
    <row r="252" spans="1:50" ht="14.25" customHeight="1" x14ac:dyDescent="0.3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11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</row>
    <row r="253" spans="1:50" ht="14.25" customHeight="1" x14ac:dyDescent="0.3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11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</row>
    <row r="254" spans="1:50" ht="14.25" customHeight="1" x14ac:dyDescent="0.3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11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</row>
    <row r="255" spans="1:50" ht="14.25" customHeight="1" x14ac:dyDescent="0.3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11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</row>
    <row r="256" spans="1:50" ht="14.25" customHeight="1" x14ac:dyDescent="0.3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11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</row>
    <row r="257" spans="1:50" ht="14.25" customHeight="1" x14ac:dyDescent="0.3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11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</row>
    <row r="258" spans="1:50" ht="14.25" customHeight="1" x14ac:dyDescent="0.3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11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</row>
    <row r="259" spans="1:50" ht="14.25" customHeight="1" x14ac:dyDescent="0.3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11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</row>
    <row r="260" spans="1:50" ht="14.25" customHeight="1" x14ac:dyDescent="0.3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11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</row>
    <row r="261" spans="1:50" ht="14.25" customHeight="1" x14ac:dyDescent="0.3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11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</row>
    <row r="262" spans="1:50" ht="14.25" customHeight="1" x14ac:dyDescent="0.3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11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</row>
    <row r="263" spans="1:50" ht="14.25" customHeight="1" x14ac:dyDescent="0.3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11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</row>
    <row r="264" spans="1:50" ht="14.25" customHeight="1" x14ac:dyDescent="0.3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11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</row>
    <row r="265" spans="1:50" ht="14.25" customHeight="1" x14ac:dyDescent="0.3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11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</row>
    <row r="266" spans="1:50" ht="14.25" customHeight="1" x14ac:dyDescent="0.3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11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</row>
    <row r="267" spans="1:50" ht="14.25" customHeight="1" x14ac:dyDescent="0.3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11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</row>
    <row r="268" spans="1:50" ht="14.25" customHeight="1" x14ac:dyDescent="0.3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11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</row>
    <row r="269" spans="1:50" ht="14.25" customHeight="1" x14ac:dyDescent="0.3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11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</row>
    <row r="270" spans="1:50" ht="14.25" customHeight="1" x14ac:dyDescent="0.3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11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</row>
    <row r="271" spans="1:50" ht="14.25" customHeight="1" x14ac:dyDescent="0.3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11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</row>
    <row r="272" spans="1:50" ht="14.25" customHeight="1" x14ac:dyDescent="0.3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11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</row>
    <row r="273" spans="1:50" ht="14.25" customHeight="1" x14ac:dyDescent="0.3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11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</row>
    <row r="274" spans="1:50" ht="14.25" customHeight="1" x14ac:dyDescent="0.3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11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</row>
    <row r="275" spans="1:50" ht="14.25" customHeight="1" x14ac:dyDescent="0.3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11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</row>
    <row r="276" spans="1:50" ht="14.25" customHeight="1" x14ac:dyDescent="0.3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11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</row>
    <row r="277" spans="1:50" ht="14.25" customHeight="1" x14ac:dyDescent="0.3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11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</row>
    <row r="278" spans="1:50" ht="14.25" customHeight="1" x14ac:dyDescent="0.3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11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</row>
    <row r="279" spans="1:50" ht="14.25" customHeight="1" x14ac:dyDescent="0.3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11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</row>
    <row r="280" spans="1:50" ht="14.25" customHeight="1" x14ac:dyDescent="0.3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11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</row>
    <row r="281" spans="1:50" ht="14.25" customHeight="1" x14ac:dyDescent="0.3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11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</row>
    <row r="282" spans="1:50" ht="14.25" customHeight="1" x14ac:dyDescent="0.3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11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</row>
    <row r="283" spans="1:50" ht="14.25" customHeight="1" x14ac:dyDescent="0.3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11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</row>
    <row r="284" spans="1:50" ht="14.25" customHeight="1" x14ac:dyDescent="0.3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11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</row>
    <row r="285" spans="1:50" ht="14.25" customHeight="1" x14ac:dyDescent="0.3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11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</row>
    <row r="286" spans="1:50" ht="14.25" customHeight="1" x14ac:dyDescent="0.3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11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</row>
    <row r="287" spans="1:50" ht="14.25" customHeight="1" x14ac:dyDescent="0.3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11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</row>
    <row r="288" spans="1:50" ht="14.25" customHeight="1" x14ac:dyDescent="0.3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11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</row>
    <row r="289" spans="1:50" ht="14.25" customHeight="1" x14ac:dyDescent="0.3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11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</row>
    <row r="290" spans="1:50" ht="14.25" customHeight="1" x14ac:dyDescent="0.3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11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</row>
    <row r="291" spans="1:50" ht="14.25" customHeight="1" x14ac:dyDescent="0.3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11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</row>
    <row r="292" spans="1:50" ht="14.25" customHeight="1" x14ac:dyDescent="0.3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11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</row>
    <row r="293" spans="1:50" ht="14.25" customHeight="1" x14ac:dyDescent="0.3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11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</row>
    <row r="294" spans="1:50" ht="14.25" customHeight="1" x14ac:dyDescent="0.3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11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</row>
    <row r="295" spans="1:50" ht="14.25" customHeight="1" x14ac:dyDescent="0.3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11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</row>
    <row r="296" spans="1:50" ht="14.25" customHeight="1" x14ac:dyDescent="0.3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11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</row>
    <row r="297" spans="1:50" ht="14.25" customHeight="1" x14ac:dyDescent="0.3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11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</row>
    <row r="298" spans="1:50" ht="14.25" customHeight="1" x14ac:dyDescent="0.3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11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</row>
    <row r="299" spans="1:50" ht="14.25" customHeight="1" x14ac:dyDescent="0.3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11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</row>
    <row r="300" spans="1:50" ht="14.25" customHeight="1" x14ac:dyDescent="0.3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11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</row>
    <row r="301" spans="1:50" ht="14.25" customHeight="1" x14ac:dyDescent="0.3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11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</row>
    <row r="302" spans="1:50" ht="14.25" customHeight="1" x14ac:dyDescent="0.3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11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</row>
    <row r="303" spans="1:50" ht="14.25" customHeight="1" x14ac:dyDescent="0.3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11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</row>
    <row r="304" spans="1:50" ht="14.25" customHeight="1" x14ac:dyDescent="0.3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11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</row>
    <row r="305" spans="1:50" ht="14.25" customHeight="1" x14ac:dyDescent="0.3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11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</row>
    <row r="306" spans="1:50" ht="14.25" customHeight="1" x14ac:dyDescent="0.3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11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</row>
    <row r="307" spans="1:50" ht="14.25" customHeight="1" x14ac:dyDescent="0.3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11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</row>
    <row r="308" spans="1:50" ht="14.25" customHeight="1" x14ac:dyDescent="0.3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11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</row>
    <row r="309" spans="1:50" ht="14.25" customHeight="1" x14ac:dyDescent="0.3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11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</row>
    <row r="310" spans="1:50" ht="14.25" customHeight="1" x14ac:dyDescent="0.3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11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</row>
    <row r="311" spans="1:50" ht="14.25" customHeight="1" x14ac:dyDescent="0.3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11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</row>
    <row r="312" spans="1:50" ht="14.25" customHeight="1" x14ac:dyDescent="0.3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11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</row>
    <row r="313" spans="1:50" ht="14.25" customHeight="1" x14ac:dyDescent="0.3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11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</row>
    <row r="314" spans="1:50" ht="14.25" customHeight="1" x14ac:dyDescent="0.3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11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</row>
    <row r="315" spans="1:50" ht="14.25" customHeight="1" x14ac:dyDescent="0.3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11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</row>
    <row r="316" spans="1:50" ht="14.25" customHeight="1" x14ac:dyDescent="0.3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11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</row>
    <row r="317" spans="1:50" ht="14.25" customHeight="1" x14ac:dyDescent="0.3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11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</row>
    <row r="318" spans="1:50" ht="14.25" customHeight="1" x14ac:dyDescent="0.3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11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</row>
    <row r="319" spans="1:50" ht="14.25" customHeight="1" x14ac:dyDescent="0.3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11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</row>
    <row r="320" spans="1:50" ht="14.25" customHeight="1" x14ac:dyDescent="0.3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11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</row>
    <row r="321" spans="1:50" ht="14.25" customHeight="1" x14ac:dyDescent="0.3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11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</row>
    <row r="322" spans="1:50" ht="14.25" customHeight="1" x14ac:dyDescent="0.3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11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</row>
    <row r="323" spans="1:50" ht="14.25" customHeight="1" x14ac:dyDescent="0.3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11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</row>
    <row r="324" spans="1:50" ht="14.25" customHeight="1" x14ac:dyDescent="0.3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11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</row>
    <row r="325" spans="1:50" ht="14.25" customHeight="1" x14ac:dyDescent="0.3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11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</row>
    <row r="326" spans="1:50" ht="14.25" customHeight="1" x14ac:dyDescent="0.3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11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</row>
    <row r="327" spans="1:50" ht="14.25" customHeight="1" x14ac:dyDescent="0.3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11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</row>
    <row r="328" spans="1:50" ht="14.25" customHeight="1" x14ac:dyDescent="0.3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11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</row>
    <row r="329" spans="1:50" ht="14.25" customHeight="1" x14ac:dyDescent="0.3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11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</row>
    <row r="330" spans="1:50" ht="14.25" customHeight="1" x14ac:dyDescent="0.3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11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</row>
    <row r="331" spans="1:50" ht="14.25" customHeight="1" x14ac:dyDescent="0.3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11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</row>
    <row r="332" spans="1:50" ht="14.25" customHeight="1" x14ac:dyDescent="0.3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11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</row>
    <row r="333" spans="1:50" ht="14.25" customHeight="1" x14ac:dyDescent="0.3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11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</row>
    <row r="334" spans="1:50" ht="14.25" customHeight="1" x14ac:dyDescent="0.3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11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</row>
    <row r="335" spans="1:50" ht="14.25" customHeight="1" x14ac:dyDescent="0.3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11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</row>
    <row r="336" spans="1:50" ht="14.25" customHeight="1" x14ac:dyDescent="0.3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11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</row>
    <row r="337" spans="1:50" ht="14.25" customHeight="1" x14ac:dyDescent="0.3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11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</row>
    <row r="338" spans="1:50" ht="14.25" customHeight="1" x14ac:dyDescent="0.3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11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</row>
    <row r="339" spans="1:50" ht="14.25" customHeight="1" x14ac:dyDescent="0.3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11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</row>
    <row r="340" spans="1:50" ht="14.25" customHeight="1" x14ac:dyDescent="0.3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11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</row>
    <row r="341" spans="1:50" ht="14.25" customHeight="1" x14ac:dyDescent="0.3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11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</row>
    <row r="342" spans="1:50" ht="14.25" customHeight="1" x14ac:dyDescent="0.3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11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</row>
    <row r="343" spans="1:50" ht="14.25" customHeight="1" x14ac:dyDescent="0.3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11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</row>
    <row r="344" spans="1:50" ht="14.25" customHeight="1" x14ac:dyDescent="0.3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11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</row>
    <row r="345" spans="1:50" ht="14.25" customHeight="1" x14ac:dyDescent="0.3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11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</row>
    <row r="346" spans="1:50" ht="14.25" customHeight="1" x14ac:dyDescent="0.3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11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</row>
    <row r="347" spans="1:50" ht="14.25" customHeight="1" x14ac:dyDescent="0.3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11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</row>
    <row r="348" spans="1:50" ht="14.25" customHeight="1" x14ac:dyDescent="0.3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11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</row>
    <row r="349" spans="1:50" ht="14.25" customHeight="1" x14ac:dyDescent="0.3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11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</row>
    <row r="350" spans="1:50" ht="14.25" customHeight="1" x14ac:dyDescent="0.3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11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</row>
    <row r="351" spans="1:50" ht="14.25" customHeight="1" x14ac:dyDescent="0.3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11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</row>
    <row r="352" spans="1:50" ht="14.25" customHeight="1" x14ac:dyDescent="0.3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11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</row>
    <row r="353" spans="1:50" ht="14.25" customHeight="1" x14ac:dyDescent="0.3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11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</row>
    <row r="354" spans="1:50" ht="14.25" customHeight="1" x14ac:dyDescent="0.3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11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</row>
    <row r="355" spans="1:50" ht="14.25" customHeight="1" x14ac:dyDescent="0.3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11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</row>
    <row r="356" spans="1:50" ht="14.25" customHeight="1" x14ac:dyDescent="0.3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11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</row>
    <row r="357" spans="1:50" ht="14.25" customHeight="1" x14ac:dyDescent="0.3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11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</row>
    <row r="358" spans="1:50" ht="14.25" customHeight="1" x14ac:dyDescent="0.3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11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</row>
    <row r="359" spans="1:50" ht="14.25" customHeight="1" x14ac:dyDescent="0.3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11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</row>
    <row r="360" spans="1:50" ht="14.25" customHeight="1" x14ac:dyDescent="0.3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11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</row>
    <row r="361" spans="1:50" ht="14.25" customHeight="1" x14ac:dyDescent="0.3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11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</row>
    <row r="362" spans="1:50" ht="14.25" customHeight="1" x14ac:dyDescent="0.3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11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</row>
    <row r="363" spans="1:50" ht="14.25" customHeight="1" x14ac:dyDescent="0.3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11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</row>
    <row r="364" spans="1:50" ht="14.25" customHeight="1" x14ac:dyDescent="0.3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11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</row>
    <row r="365" spans="1:50" ht="14.25" customHeight="1" x14ac:dyDescent="0.3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11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</row>
    <row r="366" spans="1:50" ht="14.25" customHeight="1" x14ac:dyDescent="0.3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11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</row>
    <row r="367" spans="1:50" ht="14.25" customHeight="1" x14ac:dyDescent="0.3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11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</row>
    <row r="368" spans="1:50" ht="14.25" customHeight="1" x14ac:dyDescent="0.3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11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</row>
    <row r="369" spans="1:50" ht="14.25" customHeight="1" x14ac:dyDescent="0.3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11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</row>
    <row r="370" spans="1:50" ht="14.25" customHeight="1" x14ac:dyDescent="0.3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11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</row>
    <row r="371" spans="1:50" ht="14.25" customHeight="1" x14ac:dyDescent="0.3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11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</row>
    <row r="372" spans="1:50" ht="14.25" customHeight="1" x14ac:dyDescent="0.3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11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</row>
    <row r="373" spans="1:50" ht="14.25" customHeight="1" x14ac:dyDescent="0.3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11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</row>
    <row r="374" spans="1:50" ht="14.25" customHeight="1" x14ac:dyDescent="0.3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11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</row>
    <row r="375" spans="1:50" ht="14.25" customHeight="1" x14ac:dyDescent="0.3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11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</row>
    <row r="376" spans="1:50" ht="14.25" customHeight="1" x14ac:dyDescent="0.3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11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</row>
    <row r="377" spans="1:50" ht="14.25" customHeight="1" x14ac:dyDescent="0.3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11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</row>
    <row r="378" spans="1:50" ht="14.25" customHeight="1" x14ac:dyDescent="0.3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11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</row>
    <row r="379" spans="1:50" ht="14.25" customHeight="1" x14ac:dyDescent="0.3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11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</row>
    <row r="380" spans="1:50" ht="14.25" customHeight="1" x14ac:dyDescent="0.3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11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</row>
    <row r="381" spans="1:50" ht="14.25" customHeight="1" x14ac:dyDescent="0.3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11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</row>
    <row r="382" spans="1:50" ht="14.25" customHeight="1" x14ac:dyDescent="0.3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11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</row>
    <row r="383" spans="1:50" ht="14.25" customHeight="1" x14ac:dyDescent="0.3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11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</row>
    <row r="384" spans="1:50" ht="14.25" customHeight="1" x14ac:dyDescent="0.3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11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</row>
    <row r="385" spans="1:50" ht="14.25" customHeight="1" x14ac:dyDescent="0.3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11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</row>
    <row r="386" spans="1:50" ht="14.25" customHeight="1" x14ac:dyDescent="0.3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11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</row>
    <row r="387" spans="1:50" ht="14.25" customHeight="1" x14ac:dyDescent="0.3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11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</row>
    <row r="388" spans="1:50" ht="14.25" customHeight="1" x14ac:dyDescent="0.3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11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</row>
    <row r="389" spans="1:50" ht="14.25" customHeight="1" x14ac:dyDescent="0.3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11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</row>
    <row r="390" spans="1:50" ht="14.25" customHeight="1" x14ac:dyDescent="0.3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11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</row>
    <row r="391" spans="1:50" ht="14.25" customHeight="1" x14ac:dyDescent="0.3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11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</row>
    <row r="392" spans="1:50" ht="14.25" customHeight="1" x14ac:dyDescent="0.3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11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</row>
    <row r="393" spans="1:50" ht="14.25" customHeight="1" x14ac:dyDescent="0.3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11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</row>
    <row r="394" spans="1:50" ht="14.25" customHeight="1" x14ac:dyDescent="0.3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11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</row>
    <row r="395" spans="1:50" ht="14.25" customHeight="1" x14ac:dyDescent="0.3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11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</row>
    <row r="396" spans="1:50" ht="14.25" customHeight="1" x14ac:dyDescent="0.3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11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</row>
    <row r="397" spans="1:50" ht="14.25" customHeight="1" x14ac:dyDescent="0.3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11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</row>
    <row r="398" spans="1:50" ht="14.25" customHeight="1" x14ac:dyDescent="0.3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11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</row>
    <row r="399" spans="1:50" ht="14.25" customHeight="1" x14ac:dyDescent="0.3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11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</row>
    <row r="400" spans="1:50" ht="14.25" customHeight="1" x14ac:dyDescent="0.3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11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</row>
    <row r="401" spans="1:50" ht="14.25" customHeight="1" x14ac:dyDescent="0.3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11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</row>
    <row r="402" spans="1:50" ht="14.25" customHeight="1" x14ac:dyDescent="0.3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11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</row>
    <row r="403" spans="1:50" ht="14.25" customHeight="1" x14ac:dyDescent="0.3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11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</row>
    <row r="404" spans="1:50" ht="14.25" customHeight="1" x14ac:dyDescent="0.3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11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</row>
    <row r="405" spans="1:50" ht="14.25" customHeight="1" x14ac:dyDescent="0.3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11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</row>
    <row r="406" spans="1:50" ht="14.25" customHeight="1" x14ac:dyDescent="0.3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11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</row>
    <row r="407" spans="1:50" ht="14.25" customHeight="1" x14ac:dyDescent="0.3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11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</row>
    <row r="408" spans="1:50" ht="14.25" customHeight="1" x14ac:dyDescent="0.3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11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</row>
    <row r="409" spans="1:50" ht="14.25" customHeight="1" x14ac:dyDescent="0.3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11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</row>
    <row r="410" spans="1:50" ht="14.25" customHeight="1" x14ac:dyDescent="0.3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11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</row>
    <row r="411" spans="1:50" ht="14.25" customHeight="1" x14ac:dyDescent="0.3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11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</row>
    <row r="412" spans="1:50" ht="14.25" customHeight="1" x14ac:dyDescent="0.3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11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</row>
    <row r="413" spans="1:50" ht="14.25" customHeight="1" x14ac:dyDescent="0.3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11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</row>
    <row r="414" spans="1:50" ht="14.25" customHeight="1" x14ac:dyDescent="0.3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11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</row>
    <row r="415" spans="1:50" ht="14.25" customHeight="1" x14ac:dyDescent="0.3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11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</row>
    <row r="416" spans="1:50" ht="14.25" customHeight="1" x14ac:dyDescent="0.3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11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</row>
    <row r="417" spans="1:50" ht="14.25" customHeight="1" x14ac:dyDescent="0.3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11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</row>
    <row r="418" spans="1:50" ht="14.25" customHeight="1" x14ac:dyDescent="0.3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11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</row>
    <row r="419" spans="1:50" ht="14.25" customHeight="1" x14ac:dyDescent="0.3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11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</row>
    <row r="420" spans="1:50" ht="14.25" customHeight="1" x14ac:dyDescent="0.3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11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</row>
    <row r="421" spans="1:50" ht="14.25" customHeight="1" x14ac:dyDescent="0.3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11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</row>
    <row r="422" spans="1:50" ht="14.25" customHeight="1" x14ac:dyDescent="0.3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11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</row>
    <row r="423" spans="1:50" ht="14.25" customHeight="1" x14ac:dyDescent="0.3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11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</row>
    <row r="424" spans="1:50" ht="14.25" customHeight="1" x14ac:dyDescent="0.3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11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</row>
    <row r="425" spans="1:50" ht="14.25" customHeight="1" x14ac:dyDescent="0.3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11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</row>
    <row r="426" spans="1:50" ht="14.25" customHeight="1" x14ac:dyDescent="0.3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11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</row>
    <row r="427" spans="1:50" ht="14.25" customHeight="1" x14ac:dyDescent="0.3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11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</row>
    <row r="428" spans="1:50" ht="14.25" customHeight="1" x14ac:dyDescent="0.3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11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</row>
    <row r="429" spans="1:50" ht="14.25" customHeight="1" x14ac:dyDescent="0.3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11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</row>
    <row r="430" spans="1:50" ht="14.25" customHeight="1" x14ac:dyDescent="0.3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11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</row>
    <row r="431" spans="1:50" ht="14.25" customHeight="1" x14ac:dyDescent="0.3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11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</row>
    <row r="432" spans="1:50" ht="14.25" customHeight="1" x14ac:dyDescent="0.3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11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</row>
    <row r="433" spans="1:50" ht="14.25" customHeight="1" x14ac:dyDescent="0.3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11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</row>
    <row r="434" spans="1:50" ht="14.25" customHeight="1" x14ac:dyDescent="0.3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11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</row>
    <row r="435" spans="1:50" ht="14.25" customHeight="1" x14ac:dyDescent="0.3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11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</row>
    <row r="436" spans="1:50" ht="14.25" customHeight="1" x14ac:dyDescent="0.3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11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</row>
    <row r="437" spans="1:50" ht="14.25" customHeight="1" x14ac:dyDescent="0.3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11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</row>
    <row r="438" spans="1:50" ht="14.25" customHeight="1" x14ac:dyDescent="0.3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11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</row>
    <row r="439" spans="1:50" ht="14.25" customHeight="1" x14ac:dyDescent="0.3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11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</row>
    <row r="440" spans="1:50" ht="14.25" customHeight="1" x14ac:dyDescent="0.3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11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</row>
    <row r="441" spans="1:50" ht="14.25" customHeight="1" x14ac:dyDescent="0.3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11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</row>
    <row r="442" spans="1:50" ht="14.25" customHeight="1" x14ac:dyDescent="0.3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11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</row>
    <row r="443" spans="1:50" ht="14.25" customHeight="1" x14ac:dyDescent="0.3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11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</row>
    <row r="444" spans="1:50" ht="14.25" customHeight="1" x14ac:dyDescent="0.3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11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</row>
    <row r="445" spans="1:50" ht="14.25" customHeight="1" x14ac:dyDescent="0.3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11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</row>
    <row r="446" spans="1:50" ht="14.25" customHeight="1" x14ac:dyDescent="0.3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11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</row>
    <row r="447" spans="1:50" ht="14.25" customHeight="1" x14ac:dyDescent="0.3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11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</row>
    <row r="448" spans="1:50" ht="14.25" customHeight="1" x14ac:dyDescent="0.3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11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</row>
    <row r="449" spans="1:50" ht="14.25" customHeight="1" x14ac:dyDescent="0.3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11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</row>
    <row r="450" spans="1:50" ht="14.25" customHeight="1" x14ac:dyDescent="0.3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11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</row>
    <row r="451" spans="1:50" ht="14.25" customHeight="1" x14ac:dyDescent="0.3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11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</row>
    <row r="452" spans="1:50" ht="14.25" customHeight="1" x14ac:dyDescent="0.3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11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</row>
    <row r="453" spans="1:50" ht="14.25" customHeight="1" x14ac:dyDescent="0.3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11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</row>
    <row r="454" spans="1:50" ht="14.25" customHeight="1" x14ac:dyDescent="0.3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11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</row>
    <row r="455" spans="1:50" ht="14.25" customHeight="1" x14ac:dyDescent="0.3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11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</row>
    <row r="456" spans="1:50" ht="14.25" customHeight="1" x14ac:dyDescent="0.3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11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</row>
    <row r="457" spans="1:50" ht="14.25" customHeight="1" x14ac:dyDescent="0.3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11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</row>
    <row r="458" spans="1:50" ht="14.25" customHeight="1" x14ac:dyDescent="0.3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11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</row>
    <row r="459" spans="1:50" ht="14.25" customHeight="1" x14ac:dyDescent="0.3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11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</row>
    <row r="460" spans="1:50" ht="14.25" customHeight="1" x14ac:dyDescent="0.3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11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</row>
    <row r="461" spans="1:50" ht="14.25" customHeight="1" x14ac:dyDescent="0.3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11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</row>
    <row r="462" spans="1:50" ht="14.25" customHeight="1" x14ac:dyDescent="0.3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11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</row>
    <row r="463" spans="1:50" ht="14.25" customHeight="1" x14ac:dyDescent="0.3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11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</row>
    <row r="464" spans="1:50" ht="14.25" customHeight="1" x14ac:dyDescent="0.3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11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</row>
    <row r="465" spans="1:50" ht="14.25" customHeight="1" x14ac:dyDescent="0.3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11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</row>
    <row r="466" spans="1:50" ht="14.25" customHeight="1" x14ac:dyDescent="0.3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11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</row>
    <row r="467" spans="1:50" ht="14.25" customHeight="1" x14ac:dyDescent="0.3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11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</row>
    <row r="468" spans="1:50" ht="14.25" customHeight="1" x14ac:dyDescent="0.3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11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</row>
    <row r="469" spans="1:50" ht="14.25" customHeight="1" x14ac:dyDescent="0.3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11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</row>
    <row r="470" spans="1:50" ht="14.25" customHeight="1" x14ac:dyDescent="0.3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11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</row>
    <row r="471" spans="1:50" ht="14.25" customHeight="1" x14ac:dyDescent="0.3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11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</row>
    <row r="472" spans="1:50" ht="14.25" customHeight="1" x14ac:dyDescent="0.3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11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</row>
    <row r="473" spans="1:50" ht="14.25" customHeight="1" x14ac:dyDescent="0.3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11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</row>
    <row r="474" spans="1:50" ht="14.25" customHeight="1" x14ac:dyDescent="0.3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11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</row>
    <row r="475" spans="1:50" ht="14.25" customHeight="1" x14ac:dyDescent="0.3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11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</row>
    <row r="476" spans="1:50" ht="14.25" customHeight="1" x14ac:dyDescent="0.3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11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</row>
    <row r="477" spans="1:50" ht="14.25" customHeight="1" x14ac:dyDescent="0.3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11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</row>
    <row r="478" spans="1:50" ht="14.25" customHeight="1" x14ac:dyDescent="0.3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11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</row>
    <row r="479" spans="1:50" ht="14.25" customHeight="1" x14ac:dyDescent="0.3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11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</row>
    <row r="480" spans="1:50" ht="14.25" customHeight="1" x14ac:dyDescent="0.3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11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</row>
    <row r="481" spans="1:50" ht="14.25" customHeight="1" x14ac:dyDescent="0.3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11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</row>
    <row r="482" spans="1:50" ht="14.25" customHeight="1" x14ac:dyDescent="0.3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11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</row>
    <row r="483" spans="1:50" ht="14.25" customHeight="1" x14ac:dyDescent="0.3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11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</row>
    <row r="484" spans="1:50" ht="14.25" customHeight="1" x14ac:dyDescent="0.3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11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</row>
    <row r="485" spans="1:50" ht="14.25" customHeight="1" x14ac:dyDescent="0.3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11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</row>
    <row r="486" spans="1:50" ht="14.25" customHeight="1" x14ac:dyDescent="0.3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11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</row>
    <row r="487" spans="1:50" ht="14.25" customHeight="1" x14ac:dyDescent="0.3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11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</row>
    <row r="488" spans="1:50" ht="14.25" customHeight="1" x14ac:dyDescent="0.3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11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</row>
    <row r="489" spans="1:50" ht="14.25" customHeight="1" x14ac:dyDescent="0.3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11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</row>
    <row r="490" spans="1:50" ht="14.25" customHeight="1" x14ac:dyDescent="0.3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11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</row>
    <row r="491" spans="1:50" ht="14.25" customHeight="1" x14ac:dyDescent="0.3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11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</row>
    <row r="492" spans="1:50" ht="14.25" customHeight="1" x14ac:dyDescent="0.3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11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</row>
    <row r="493" spans="1:50" ht="14.25" customHeight="1" x14ac:dyDescent="0.3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11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</row>
    <row r="494" spans="1:50" ht="14.25" customHeight="1" x14ac:dyDescent="0.3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11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</row>
    <row r="495" spans="1:50" ht="14.25" customHeight="1" x14ac:dyDescent="0.3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11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</row>
    <row r="496" spans="1:50" ht="14.25" customHeight="1" x14ac:dyDescent="0.3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11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</row>
    <row r="497" spans="1:50" ht="14.25" customHeight="1" x14ac:dyDescent="0.3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11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</row>
    <row r="498" spans="1:50" ht="14.25" customHeight="1" x14ac:dyDescent="0.3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11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</row>
    <row r="499" spans="1:50" ht="14.25" customHeight="1" x14ac:dyDescent="0.3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11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</row>
    <row r="500" spans="1:50" ht="14.25" customHeight="1" x14ac:dyDescent="0.3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11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</row>
    <row r="501" spans="1:50" ht="14.25" customHeight="1" x14ac:dyDescent="0.3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11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</row>
    <row r="502" spans="1:50" ht="14.25" customHeight="1" x14ac:dyDescent="0.3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11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</row>
    <row r="503" spans="1:50" ht="14.25" customHeight="1" x14ac:dyDescent="0.3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11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</row>
    <row r="504" spans="1:50" ht="14.25" customHeight="1" x14ac:dyDescent="0.3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11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</row>
    <row r="505" spans="1:50" ht="14.25" customHeight="1" x14ac:dyDescent="0.3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11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</row>
    <row r="506" spans="1:50" ht="14.25" customHeight="1" x14ac:dyDescent="0.3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11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</row>
    <row r="507" spans="1:50" ht="14.25" customHeight="1" x14ac:dyDescent="0.3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11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</row>
    <row r="508" spans="1:50" ht="14.25" customHeight="1" x14ac:dyDescent="0.3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11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</row>
    <row r="509" spans="1:50" ht="14.25" customHeight="1" x14ac:dyDescent="0.3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11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</row>
    <row r="510" spans="1:50" ht="14.25" customHeight="1" x14ac:dyDescent="0.3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11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</row>
    <row r="511" spans="1:50" ht="14.25" customHeight="1" x14ac:dyDescent="0.3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11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</row>
    <row r="512" spans="1:50" ht="14.25" customHeight="1" x14ac:dyDescent="0.3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11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</row>
    <row r="513" spans="1:50" ht="14.25" customHeight="1" x14ac:dyDescent="0.3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11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</row>
    <row r="514" spans="1:50" ht="14.25" customHeight="1" x14ac:dyDescent="0.3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11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</row>
    <row r="515" spans="1:50" ht="14.25" customHeight="1" x14ac:dyDescent="0.3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11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</row>
    <row r="516" spans="1:50" ht="14.25" customHeight="1" x14ac:dyDescent="0.3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11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</row>
    <row r="517" spans="1:50" ht="14.25" customHeight="1" x14ac:dyDescent="0.3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11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</row>
    <row r="518" spans="1:50" ht="14.25" customHeight="1" x14ac:dyDescent="0.3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11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</row>
    <row r="519" spans="1:50" ht="14.25" customHeight="1" x14ac:dyDescent="0.3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11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</row>
    <row r="520" spans="1:50" ht="14.25" customHeight="1" x14ac:dyDescent="0.3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11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</row>
    <row r="521" spans="1:50" ht="14.25" customHeight="1" x14ac:dyDescent="0.3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11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</row>
    <row r="522" spans="1:50" ht="14.25" customHeight="1" x14ac:dyDescent="0.3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11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</row>
    <row r="523" spans="1:50" ht="14.25" customHeight="1" x14ac:dyDescent="0.3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11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</row>
    <row r="524" spans="1:50" ht="14.25" customHeight="1" x14ac:dyDescent="0.3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11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</row>
    <row r="525" spans="1:50" ht="14.25" customHeight="1" x14ac:dyDescent="0.3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11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</row>
    <row r="526" spans="1:50" ht="14.25" customHeight="1" x14ac:dyDescent="0.3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11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</row>
    <row r="527" spans="1:50" ht="14.25" customHeight="1" x14ac:dyDescent="0.3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11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</row>
    <row r="528" spans="1:50" ht="14.25" customHeight="1" x14ac:dyDescent="0.3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11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</row>
    <row r="529" spans="1:50" ht="14.25" customHeight="1" x14ac:dyDescent="0.3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11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</row>
    <row r="530" spans="1:50" ht="14.25" customHeight="1" x14ac:dyDescent="0.3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11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</row>
    <row r="531" spans="1:50" ht="14.25" customHeight="1" x14ac:dyDescent="0.3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11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</row>
    <row r="532" spans="1:50" ht="14.25" customHeight="1" x14ac:dyDescent="0.3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11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</row>
    <row r="533" spans="1:50" ht="14.25" customHeight="1" x14ac:dyDescent="0.3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11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</row>
    <row r="534" spans="1:50" ht="14.25" customHeight="1" x14ac:dyDescent="0.3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11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</row>
    <row r="535" spans="1:50" ht="14.25" customHeight="1" x14ac:dyDescent="0.3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11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</row>
    <row r="536" spans="1:50" ht="14.25" customHeight="1" x14ac:dyDescent="0.3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11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</row>
    <row r="537" spans="1:50" ht="14.25" customHeight="1" x14ac:dyDescent="0.3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11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</row>
    <row r="538" spans="1:50" ht="14.25" customHeight="1" x14ac:dyDescent="0.3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11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</row>
    <row r="539" spans="1:50" ht="14.25" customHeight="1" x14ac:dyDescent="0.3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11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</row>
    <row r="540" spans="1:50" ht="14.25" customHeight="1" x14ac:dyDescent="0.3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11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</row>
    <row r="541" spans="1:50" ht="14.25" customHeight="1" x14ac:dyDescent="0.3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11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</row>
    <row r="542" spans="1:50" ht="14.25" customHeight="1" x14ac:dyDescent="0.3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11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</row>
    <row r="543" spans="1:50" ht="14.25" customHeight="1" x14ac:dyDescent="0.3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11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</row>
    <row r="544" spans="1:50" ht="14.25" customHeight="1" x14ac:dyDescent="0.3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11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</row>
    <row r="545" spans="1:50" ht="14.25" customHeight="1" x14ac:dyDescent="0.3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11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</row>
    <row r="546" spans="1:50" ht="14.25" customHeight="1" x14ac:dyDescent="0.3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11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</row>
    <row r="547" spans="1:50" ht="14.25" customHeight="1" x14ac:dyDescent="0.3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11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</row>
    <row r="548" spans="1:50" ht="14.25" customHeight="1" x14ac:dyDescent="0.3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11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</row>
    <row r="549" spans="1:50" ht="14.25" customHeight="1" x14ac:dyDescent="0.3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11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</row>
    <row r="550" spans="1:50" ht="14.25" customHeight="1" x14ac:dyDescent="0.3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11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</row>
    <row r="551" spans="1:50" ht="14.25" customHeight="1" x14ac:dyDescent="0.3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11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</row>
    <row r="552" spans="1:50" ht="14.25" customHeight="1" x14ac:dyDescent="0.3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11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</row>
    <row r="553" spans="1:50" ht="14.25" customHeight="1" x14ac:dyDescent="0.3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11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</row>
    <row r="554" spans="1:50" ht="14.25" customHeight="1" x14ac:dyDescent="0.3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11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</row>
    <row r="555" spans="1:50" ht="14.25" customHeight="1" x14ac:dyDescent="0.3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11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</row>
    <row r="556" spans="1:50" ht="14.25" customHeight="1" x14ac:dyDescent="0.3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11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</row>
    <row r="557" spans="1:50" ht="14.25" customHeight="1" x14ac:dyDescent="0.3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11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</row>
    <row r="558" spans="1:50" ht="14.25" customHeight="1" x14ac:dyDescent="0.3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11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</row>
    <row r="559" spans="1:50" ht="14.25" customHeight="1" x14ac:dyDescent="0.3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11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</row>
    <row r="560" spans="1:50" ht="14.25" customHeight="1" x14ac:dyDescent="0.3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11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</row>
    <row r="561" spans="1:50" ht="14.25" customHeight="1" x14ac:dyDescent="0.3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11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</row>
    <row r="562" spans="1:50" ht="14.25" customHeight="1" x14ac:dyDescent="0.3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11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</row>
    <row r="563" spans="1:50" ht="14.25" customHeight="1" x14ac:dyDescent="0.3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11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</row>
    <row r="564" spans="1:50" ht="14.25" customHeight="1" x14ac:dyDescent="0.3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11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</row>
    <row r="565" spans="1:50" ht="14.25" customHeight="1" x14ac:dyDescent="0.3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11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</row>
    <row r="566" spans="1:50" ht="14.25" customHeight="1" x14ac:dyDescent="0.3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11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</row>
    <row r="567" spans="1:50" ht="14.25" customHeight="1" x14ac:dyDescent="0.3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11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</row>
    <row r="568" spans="1:50" ht="14.25" customHeight="1" x14ac:dyDescent="0.3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11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</row>
    <row r="569" spans="1:50" ht="14.25" customHeight="1" x14ac:dyDescent="0.3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11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</row>
    <row r="570" spans="1:50" ht="14.25" customHeight="1" x14ac:dyDescent="0.3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11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</row>
    <row r="571" spans="1:50" ht="14.25" customHeight="1" x14ac:dyDescent="0.3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11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</row>
    <row r="572" spans="1:50" ht="14.25" customHeight="1" x14ac:dyDescent="0.3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11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</row>
    <row r="573" spans="1:50" ht="14.25" customHeight="1" x14ac:dyDescent="0.3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11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</row>
    <row r="574" spans="1:50" ht="14.25" customHeight="1" x14ac:dyDescent="0.3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11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</row>
    <row r="575" spans="1:50" ht="14.25" customHeight="1" x14ac:dyDescent="0.3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11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</row>
    <row r="576" spans="1:50" ht="14.25" customHeight="1" x14ac:dyDescent="0.3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11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</row>
    <row r="577" spans="1:50" ht="14.25" customHeight="1" x14ac:dyDescent="0.3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11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</row>
    <row r="578" spans="1:50" ht="14.25" customHeight="1" x14ac:dyDescent="0.3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11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</row>
    <row r="579" spans="1:50" ht="14.25" customHeight="1" x14ac:dyDescent="0.3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11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</row>
    <row r="580" spans="1:50" ht="14.25" customHeight="1" x14ac:dyDescent="0.3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11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</row>
    <row r="581" spans="1:50" ht="14.25" customHeight="1" x14ac:dyDescent="0.3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11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</row>
    <row r="582" spans="1:50" ht="14.25" customHeight="1" x14ac:dyDescent="0.3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11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</row>
    <row r="583" spans="1:50" ht="14.25" customHeight="1" x14ac:dyDescent="0.3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11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</row>
    <row r="584" spans="1:50" ht="14.25" customHeight="1" x14ac:dyDescent="0.3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11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</row>
    <row r="585" spans="1:50" ht="14.25" customHeight="1" x14ac:dyDescent="0.3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11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</row>
    <row r="586" spans="1:50" ht="14.25" customHeight="1" x14ac:dyDescent="0.3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11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</row>
    <row r="587" spans="1:50" ht="14.25" customHeight="1" x14ac:dyDescent="0.3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11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</row>
    <row r="588" spans="1:50" ht="14.25" customHeight="1" x14ac:dyDescent="0.3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11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</row>
    <row r="589" spans="1:50" ht="14.25" customHeight="1" x14ac:dyDescent="0.3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11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</row>
    <row r="590" spans="1:50" ht="14.25" customHeight="1" x14ac:dyDescent="0.3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11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</row>
    <row r="591" spans="1:50" ht="14.25" customHeight="1" x14ac:dyDescent="0.3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11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</row>
    <row r="592" spans="1:50" ht="14.25" customHeight="1" x14ac:dyDescent="0.3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11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</row>
    <row r="593" spans="1:50" ht="14.25" customHeight="1" x14ac:dyDescent="0.3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11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</row>
    <row r="594" spans="1:50" ht="14.25" customHeight="1" x14ac:dyDescent="0.3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11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</row>
    <row r="595" spans="1:50" ht="14.25" customHeight="1" x14ac:dyDescent="0.3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11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</row>
    <row r="596" spans="1:50" ht="14.25" customHeight="1" x14ac:dyDescent="0.3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11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</row>
    <row r="597" spans="1:50" ht="14.25" customHeight="1" x14ac:dyDescent="0.3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11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</row>
    <row r="598" spans="1:50" ht="14.25" customHeight="1" x14ac:dyDescent="0.3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11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</row>
    <row r="599" spans="1:50" ht="14.25" customHeight="1" x14ac:dyDescent="0.3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11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</row>
    <row r="600" spans="1:50" ht="14.25" customHeight="1" x14ac:dyDescent="0.3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11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</row>
    <row r="601" spans="1:50" ht="14.25" customHeight="1" x14ac:dyDescent="0.3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11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</row>
    <row r="602" spans="1:50" ht="14.25" customHeight="1" x14ac:dyDescent="0.3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11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</row>
    <row r="603" spans="1:50" ht="14.25" customHeight="1" x14ac:dyDescent="0.3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11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</row>
    <row r="604" spans="1:50" ht="14.25" customHeight="1" x14ac:dyDescent="0.3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11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</row>
    <row r="605" spans="1:50" ht="14.25" customHeight="1" x14ac:dyDescent="0.3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11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</row>
    <row r="606" spans="1:50" ht="14.25" customHeight="1" x14ac:dyDescent="0.3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11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</row>
    <row r="607" spans="1:50" ht="14.25" customHeight="1" x14ac:dyDescent="0.3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11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</row>
    <row r="608" spans="1:50" ht="14.25" customHeight="1" x14ac:dyDescent="0.3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11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</row>
    <row r="609" spans="1:50" ht="14.25" customHeight="1" x14ac:dyDescent="0.3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11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</row>
    <row r="610" spans="1:50" ht="14.25" customHeight="1" x14ac:dyDescent="0.3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11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</row>
    <row r="611" spans="1:50" ht="14.25" customHeight="1" x14ac:dyDescent="0.3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11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</row>
    <row r="612" spans="1:50" ht="14.25" customHeight="1" x14ac:dyDescent="0.3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11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</row>
    <row r="613" spans="1:50" ht="14.25" customHeight="1" x14ac:dyDescent="0.3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11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</row>
    <row r="614" spans="1:50" ht="14.25" customHeight="1" x14ac:dyDescent="0.3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11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</row>
    <row r="615" spans="1:50" ht="14.25" customHeight="1" x14ac:dyDescent="0.3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11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</row>
    <row r="616" spans="1:50" ht="14.25" customHeight="1" x14ac:dyDescent="0.3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11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</row>
    <row r="617" spans="1:50" ht="14.25" customHeight="1" x14ac:dyDescent="0.3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11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</row>
    <row r="618" spans="1:50" ht="14.25" customHeight="1" x14ac:dyDescent="0.3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11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</row>
    <row r="619" spans="1:50" ht="14.25" customHeight="1" x14ac:dyDescent="0.3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11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</row>
    <row r="620" spans="1:50" ht="14.25" customHeight="1" x14ac:dyDescent="0.3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11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</row>
    <row r="621" spans="1:50" ht="14.25" customHeight="1" x14ac:dyDescent="0.3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11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</row>
    <row r="622" spans="1:50" ht="14.25" customHeight="1" x14ac:dyDescent="0.3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11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</row>
    <row r="623" spans="1:50" ht="14.25" customHeight="1" x14ac:dyDescent="0.3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11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</row>
    <row r="624" spans="1:50" ht="14.25" customHeight="1" x14ac:dyDescent="0.3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11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</row>
    <row r="625" spans="1:50" ht="14.25" customHeight="1" x14ac:dyDescent="0.3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11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</row>
    <row r="626" spans="1:50" ht="14.25" customHeight="1" x14ac:dyDescent="0.3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11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</row>
    <row r="627" spans="1:50" ht="14.25" customHeight="1" x14ac:dyDescent="0.3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11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</row>
    <row r="628" spans="1:50" ht="14.25" customHeight="1" x14ac:dyDescent="0.3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11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</row>
    <row r="629" spans="1:50" ht="14.25" customHeight="1" x14ac:dyDescent="0.3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11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</row>
    <row r="630" spans="1:50" ht="14.25" customHeight="1" x14ac:dyDescent="0.3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11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</row>
    <row r="631" spans="1:50" ht="14.25" customHeight="1" x14ac:dyDescent="0.3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11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</row>
    <row r="632" spans="1:50" ht="14.25" customHeight="1" x14ac:dyDescent="0.3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11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</row>
    <row r="633" spans="1:50" ht="14.25" customHeight="1" x14ac:dyDescent="0.3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11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</row>
    <row r="634" spans="1:50" ht="14.25" customHeight="1" x14ac:dyDescent="0.3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11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</row>
    <row r="635" spans="1:50" ht="14.25" customHeight="1" x14ac:dyDescent="0.3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11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</row>
    <row r="636" spans="1:50" ht="14.25" customHeight="1" x14ac:dyDescent="0.3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11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</row>
    <row r="637" spans="1:50" ht="14.25" customHeight="1" x14ac:dyDescent="0.3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11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</row>
    <row r="638" spans="1:50" ht="14.25" customHeight="1" x14ac:dyDescent="0.3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11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</row>
    <row r="639" spans="1:50" ht="14.25" customHeight="1" x14ac:dyDescent="0.3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11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</row>
    <row r="640" spans="1:50" ht="14.25" customHeight="1" x14ac:dyDescent="0.3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11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</row>
    <row r="641" spans="1:50" ht="14.25" customHeight="1" x14ac:dyDescent="0.3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11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</row>
    <row r="642" spans="1:50" ht="14.25" customHeight="1" x14ac:dyDescent="0.3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11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</row>
    <row r="643" spans="1:50" ht="14.25" customHeight="1" x14ac:dyDescent="0.3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11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</row>
    <row r="644" spans="1:50" ht="14.25" customHeight="1" x14ac:dyDescent="0.3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11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</row>
    <row r="645" spans="1:50" ht="14.25" customHeight="1" x14ac:dyDescent="0.3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11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</row>
    <row r="646" spans="1:50" ht="14.25" customHeight="1" x14ac:dyDescent="0.3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11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</row>
    <row r="647" spans="1:50" ht="14.25" customHeight="1" x14ac:dyDescent="0.3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11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</row>
    <row r="648" spans="1:50" ht="14.25" customHeight="1" x14ac:dyDescent="0.3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11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</row>
    <row r="649" spans="1:50" ht="14.25" customHeight="1" x14ac:dyDescent="0.3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11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</row>
    <row r="650" spans="1:50" ht="14.25" customHeight="1" x14ac:dyDescent="0.3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11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</row>
    <row r="651" spans="1:50" ht="14.25" customHeight="1" x14ac:dyDescent="0.3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11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</row>
    <row r="652" spans="1:50" ht="14.25" customHeight="1" x14ac:dyDescent="0.3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11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</row>
    <row r="653" spans="1:50" ht="14.25" customHeight="1" x14ac:dyDescent="0.3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11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</row>
    <row r="654" spans="1:50" ht="14.25" customHeight="1" x14ac:dyDescent="0.3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11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</row>
    <row r="655" spans="1:50" ht="14.25" customHeight="1" x14ac:dyDescent="0.3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11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</row>
    <row r="656" spans="1:50" ht="14.25" customHeight="1" x14ac:dyDescent="0.3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11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</row>
    <row r="657" spans="1:50" ht="14.25" customHeight="1" x14ac:dyDescent="0.3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11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</row>
    <row r="658" spans="1:50" ht="14.25" customHeight="1" x14ac:dyDescent="0.3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11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</row>
    <row r="659" spans="1:50" ht="14.25" customHeight="1" x14ac:dyDescent="0.3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11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</row>
    <row r="660" spans="1:50" ht="14.25" customHeight="1" x14ac:dyDescent="0.3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11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</row>
    <row r="661" spans="1:50" ht="14.25" customHeight="1" x14ac:dyDescent="0.3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11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</row>
    <row r="662" spans="1:50" ht="14.25" customHeight="1" x14ac:dyDescent="0.3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11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</row>
    <row r="663" spans="1:50" ht="14.25" customHeight="1" x14ac:dyDescent="0.3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11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</row>
    <row r="664" spans="1:50" ht="14.25" customHeight="1" x14ac:dyDescent="0.3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11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</row>
    <row r="665" spans="1:50" ht="14.25" customHeight="1" x14ac:dyDescent="0.3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11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</row>
    <row r="666" spans="1:50" ht="14.25" customHeight="1" x14ac:dyDescent="0.3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11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</row>
    <row r="667" spans="1:50" ht="14.25" customHeight="1" x14ac:dyDescent="0.3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11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</row>
    <row r="668" spans="1:50" ht="14.25" customHeight="1" x14ac:dyDescent="0.3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11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</row>
    <row r="669" spans="1:50" ht="14.25" customHeight="1" x14ac:dyDescent="0.3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11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</row>
    <row r="670" spans="1:50" ht="14.25" customHeight="1" x14ac:dyDescent="0.3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11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</row>
    <row r="671" spans="1:50" ht="14.25" customHeight="1" x14ac:dyDescent="0.3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11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</row>
    <row r="672" spans="1:50" ht="14.25" customHeight="1" x14ac:dyDescent="0.3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11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</row>
    <row r="673" spans="1:50" ht="14.25" customHeight="1" x14ac:dyDescent="0.3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11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</row>
    <row r="674" spans="1:50" ht="14.25" customHeight="1" x14ac:dyDescent="0.3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11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</row>
    <row r="675" spans="1:50" ht="14.25" customHeight="1" x14ac:dyDescent="0.3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11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</row>
    <row r="676" spans="1:50" ht="14.25" customHeight="1" x14ac:dyDescent="0.3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11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</row>
    <row r="677" spans="1:50" ht="14.25" customHeight="1" x14ac:dyDescent="0.3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11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</row>
    <row r="678" spans="1:50" ht="14.25" customHeight="1" x14ac:dyDescent="0.3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11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</row>
    <row r="679" spans="1:50" ht="14.25" customHeight="1" x14ac:dyDescent="0.3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11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</row>
    <row r="680" spans="1:50" ht="14.25" customHeight="1" x14ac:dyDescent="0.3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11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</row>
    <row r="681" spans="1:50" ht="14.25" customHeight="1" x14ac:dyDescent="0.3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11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</row>
    <row r="682" spans="1:50" ht="14.25" customHeight="1" x14ac:dyDescent="0.3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11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</row>
    <row r="683" spans="1:50" ht="14.25" customHeight="1" x14ac:dyDescent="0.3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11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</row>
    <row r="684" spans="1:50" ht="14.25" customHeight="1" x14ac:dyDescent="0.3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11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</row>
    <row r="685" spans="1:50" ht="14.25" customHeight="1" x14ac:dyDescent="0.3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11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</row>
    <row r="686" spans="1:50" ht="14.25" customHeight="1" x14ac:dyDescent="0.3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11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</row>
    <row r="687" spans="1:50" ht="14.25" customHeight="1" x14ac:dyDescent="0.3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11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</row>
    <row r="688" spans="1:50" ht="14.25" customHeight="1" x14ac:dyDescent="0.3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11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</row>
    <row r="689" spans="1:50" ht="14.25" customHeight="1" x14ac:dyDescent="0.3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11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</row>
    <row r="690" spans="1:50" ht="14.25" customHeight="1" x14ac:dyDescent="0.3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11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</row>
    <row r="691" spans="1:50" ht="14.25" customHeight="1" x14ac:dyDescent="0.3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11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</row>
    <row r="692" spans="1:50" ht="14.25" customHeight="1" x14ac:dyDescent="0.3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11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</row>
    <row r="693" spans="1:50" ht="14.25" customHeight="1" x14ac:dyDescent="0.3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11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</row>
    <row r="694" spans="1:50" ht="14.25" customHeight="1" x14ac:dyDescent="0.3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11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</row>
    <row r="695" spans="1:50" ht="14.25" customHeight="1" x14ac:dyDescent="0.3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11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</row>
    <row r="696" spans="1:50" ht="14.25" customHeight="1" x14ac:dyDescent="0.3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11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</row>
    <row r="697" spans="1:50" ht="14.25" customHeight="1" x14ac:dyDescent="0.3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11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</row>
    <row r="698" spans="1:50" ht="14.25" customHeight="1" x14ac:dyDescent="0.3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11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</row>
    <row r="699" spans="1:50" ht="14.25" customHeight="1" x14ac:dyDescent="0.3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11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</row>
    <row r="700" spans="1:50" ht="14.25" customHeight="1" x14ac:dyDescent="0.3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11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</row>
    <row r="701" spans="1:50" ht="14.25" customHeight="1" x14ac:dyDescent="0.3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11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</row>
    <row r="702" spans="1:50" ht="14.25" customHeight="1" x14ac:dyDescent="0.3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11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</row>
    <row r="703" spans="1:50" ht="14.25" customHeight="1" x14ac:dyDescent="0.3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11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</row>
    <row r="704" spans="1:50" ht="14.25" customHeight="1" x14ac:dyDescent="0.3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11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</row>
    <row r="705" spans="1:50" ht="14.25" customHeight="1" x14ac:dyDescent="0.3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11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</row>
    <row r="706" spans="1:50" ht="14.25" customHeight="1" x14ac:dyDescent="0.3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11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</row>
    <row r="707" spans="1:50" ht="14.25" customHeight="1" x14ac:dyDescent="0.3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11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</row>
    <row r="708" spans="1:50" ht="14.25" customHeight="1" x14ac:dyDescent="0.3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11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</row>
    <row r="709" spans="1:50" ht="14.25" customHeight="1" x14ac:dyDescent="0.3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11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</row>
    <row r="710" spans="1:50" ht="14.25" customHeight="1" x14ac:dyDescent="0.3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11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</row>
    <row r="711" spans="1:50" ht="14.25" customHeight="1" x14ac:dyDescent="0.3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11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</row>
    <row r="712" spans="1:50" ht="14.25" customHeight="1" x14ac:dyDescent="0.3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11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</row>
    <row r="713" spans="1:50" ht="14.25" customHeight="1" x14ac:dyDescent="0.3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11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</row>
    <row r="714" spans="1:50" ht="14.25" customHeight="1" x14ac:dyDescent="0.3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11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</row>
    <row r="715" spans="1:50" ht="14.25" customHeight="1" x14ac:dyDescent="0.3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11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</row>
    <row r="716" spans="1:50" ht="14.25" customHeight="1" x14ac:dyDescent="0.3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11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</row>
    <row r="717" spans="1:50" ht="14.25" customHeight="1" x14ac:dyDescent="0.3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11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</row>
    <row r="718" spans="1:50" ht="14.25" customHeight="1" x14ac:dyDescent="0.3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11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</row>
    <row r="719" spans="1:50" ht="14.25" customHeight="1" x14ac:dyDescent="0.3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11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</row>
    <row r="720" spans="1:50" ht="14.25" customHeight="1" x14ac:dyDescent="0.3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11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</row>
    <row r="721" spans="1:50" ht="14.25" customHeight="1" x14ac:dyDescent="0.3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11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</row>
    <row r="722" spans="1:50" ht="14.25" customHeight="1" x14ac:dyDescent="0.3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11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</row>
    <row r="723" spans="1:50" ht="14.25" customHeight="1" x14ac:dyDescent="0.3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11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</row>
    <row r="724" spans="1:50" ht="14.25" customHeight="1" x14ac:dyDescent="0.3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11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</row>
    <row r="725" spans="1:50" ht="14.25" customHeight="1" x14ac:dyDescent="0.3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11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</row>
    <row r="726" spans="1:50" ht="14.25" customHeight="1" x14ac:dyDescent="0.3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11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</row>
    <row r="727" spans="1:50" ht="14.25" customHeight="1" x14ac:dyDescent="0.3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11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</row>
    <row r="728" spans="1:50" ht="14.25" customHeight="1" x14ac:dyDescent="0.3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11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</row>
    <row r="729" spans="1:50" ht="14.25" customHeight="1" x14ac:dyDescent="0.3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11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</row>
    <row r="730" spans="1:50" ht="14.25" customHeight="1" x14ac:dyDescent="0.3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11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</row>
    <row r="731" spans="1:50" ht="14.25" customHeight="1" x14ac:dyDescent="0.3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11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</row>
    <row r="732" spans="1:50" ht="14.25" customHeight="1" x14ac:dyDescent="0.3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11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</row>
    <row r="733" spans="1:50" ht="14.25" customHeight="1" x14ac:dyDescent="0.3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11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</row>
    <row r="734" spans="1:50" ht="14.25" customHeight="1" x14ac:dyDescent="0.3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11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</row>
    <row r="735" spans="1:50" ht="14.25" customHeight="1" x14ac:dyDescent="0.3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11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</row>
    <row r="736" spans="1:50" ht="14.25" customHeight="1" x14ac:dyDescent="0.3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11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</row>
    <row r="737" spans="1:50" ht="14.25" customHeight="1" x14ac:dyDescent="0.3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11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</row>
    <row r="738" spans="1:50" ht="14.25" customHeight="1" x14ac:dyDescent="0.3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11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</row>
    <row r="739" spans="1:50" ht="14.25" customHeight="1" x14ac:dyDescent="0.3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11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</row>
    <row r="740" spans="1:50" ht="14.25" customHeight="1" x14ac:dyDescent="0.3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11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</row>
    <row r="741" spans="1:50" ht="14.25" customHeight="1" x14ac:dyDescent="0.3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11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</row>
    <row r="742" spans="1:50" ht="14.25" customHeight="1" x14ac:dyDescent="0.3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11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</row>
    <row r="743" spans="1:50" ht="14.25" customHeight="1" x14ac:dyDescent="0.3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11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</row>
    <row r="744" spans="1:50" ht="14.25" customHeight="1" x14ac:dyDescent="0.3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11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</row>
    <row r="745" spans="1:50" ht="14.25" customHeight="1" x14ac:dyDescent="0.3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11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</row>
    <row r="746" spans="1:50" ht="14.25" customHeight="1" x14ac:dyDescent="0.3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11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</row>
    <row r="747" spans="1:50" ht="14.25" customHeight="1" x14ac:dyDescent="0.3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11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</row>
    <row r="748" spans="1:50" ht="14.25" customHeight="1" x14ac:dyDescent="0.3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11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</row>
    <row r="749" spans="1:50" ht="14.25" customHeight="1" x14ac:dyDescent="0.3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11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</row>
    <row r="750" spans="1:50" ht="14.25" customHeight="1" x14ac:dyDescent="0.3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11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</row>
    <row r="751" spans="1:50" ht="14.25" customHeight="1" x14ac:dyDescent="0.3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11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</row>
    <row r="752" spans="1:50" ht="14.25" customHeight="1" x14ac:dyDescent="0.3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11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</row>
    <row r="753" spans="1:50" ht="14.25" customHeight="1" x14ac:dyDescent="0.3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11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</row>
    <row r="754" spans="1:50" ht="14.25" customHeight="1" x14ac:dyDescent="0.3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11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</row>
    <row r="755" spans="1:50" ht="14.25" customHeight="1" x14ac:dyDescent="0.3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11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</row>
    <row r="756" spans="1:50" ht="14.25" customHeight="1" x14ac:dyDescent="0.3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11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</row>
    <row r="757" spans="1:50" ht="14.25" customHeight="1" x14ac:dyDescent="0.3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11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</row>
    <row r="758" spans="1:50" ht="14.25" customHeight="1" x14ac:dyDescent="0.3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11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</row>
    <row r="759" spans="1:50" ht="14.25" customHeight="1" x14ac:dyDescent="0.3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11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</row>
    <row r="760" spans="1:50" ht="14.25" customHeight="1" x14ac:dyDescent="0.3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11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</row>
    <row r="761" spans="1:50" ht="14.25" customHeight="1" x14ac:dyDescent="0.3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11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</row>
    <row r="762" spans="1:50" ht="14.25" customHeight="1" x14ac:dyDescent="0.3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11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</row>
    <row r="763" spans="1:50" ht="14.25" customHeight="1" x14ac:dyDescent="0.3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11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</row>
    <row r="764" spans="1:50" ht="14.25" customHeight="1" x14ac:dyDescent="0.3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11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</row>
    <row r="765" spans="1:50" ht="14.25" customHeight="1" x14ac:dyDescent="0.3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11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</row>
    <row r="766" spans="1:50" ht="14.25" customHeight="1" x14ac:dyDescent="0.3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11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</row>
    <row r="767" spans="1:50" ht="14.25" customHeight="1" x14ac:dyDescent="0.3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11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</row>
    <row r="768" spans="1:50" ht="14.25" customHeight="1" x14ac:dyDescent="0.3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11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</row>
    <row r="769" spans="1:50" ht="14.25" customHeight="1" x14ac:dyDescent="0.3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11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</row>
    <row r="770" spans="1:50" ht="14.25" customHeight="1" x14ac:dyDescent="0.3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11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</row>
    <row r="771" spans="1:50" ht="14.25" customHeight="1" x14ac:dyDescent="0.3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11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</row>
    <row r="772" spans="1:50" ht="14.25" customHeight="1" x14ac:dyDescent="0.3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11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</row>
    <row r="773" spans="1:50" ht="14.25" customHeight="1" x14ac:dyDescent="0.3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11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</row>
    <row r="774" spans="1:50" ht="14.25" customHeight="1" x14ac:dyDescent="0.3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11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</row>
    <row r="775" spans="1:50" ht="14.25" customHeight="1" x14ac:dyDescent="0.3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11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</row>
    <row r="776" spans="1:50" ht="14.25" customHeight="1" x14ac:dyDescent="0.3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11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</row>
    <row r="777" spans="1:50" ht="14.25" customHeight="1" x14ac:dyDescent="0.3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11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</row>
    <row r="778" spans="1:50" ht="14.25" customHeight="1" x14ac:dyDescent="0.3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11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</row>
    <row r="779" spans="1:50" ht="14.25" customHeight="1" x14ac:dyDescent="0.3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11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</row>
    <row r="780" spans="1:50" ht="14.25" customHeight="1" x14ac:dyDescent="0.3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11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</row>
    <row r="781" spans="1:50" ht="14.25" customHeight="1" x14ac:dyDescent="0.3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11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</row>
    <row r="782" spans="1:50" ht="14.25" customHeight="1" x14ac:dyDescent="0.3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11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</row>
    <row r="783" spans="1:50" ht="14.25" customHeight="1" x14ac:dyDescent="0.3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11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</row>
    <row r="784" spans="1:50" ht="14.25" customHeight="1" x14ac:dyDescent="0.3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11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</row>
    <row r="785" spans="1:50" ht="14.25" customHeight="1" x14ac:dyDescent="0.3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11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</row>
    <row r="786" spans="1:50" ht="14.25" customHeight="1" x14ac:dyDescent="0.3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11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</row>
    <row r="787" spans="1:50" ht="14.25" customHeight="1" x14ac:dyDescent="0.3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11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</row>
    <row r="788" spans="1:50" ht="14.25" customHeight="1" x14ac:dyDescent="0.3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11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</row>
    <row r="789" spans="1:50" ht="14.25" customHeight="1" x14ac:dyDescent="0.3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11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</row>
    <row r="790" spans="1:50" ht="14.25" customHeight="1" x14ac:dyDescent="0.3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11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</row>
    <row r="791" spans="1:50" ht="14.25" customHeight="1" x14ac:dyDescent="0.3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11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</row>
    <row r="792" spans="1:50" ht="14.25" customHeight="1" x14ac:dyDescent="0.3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11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</row>
    <row r="793" spans="1:50" ht="14.25" customHeight="1" x14ac:dyDescent="0.3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11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</row>
    <row r="794" spans="1:50" ht="14.25" customHeight="1" x14ac:dyDescent="0.3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11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</row>
    <row r="795" spans="1:50" ht="14.25" customHeight="1" x14ac:dyDescent="0.3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11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</row>
    <row r="796" spans="1:50" ht="14.25" customHeight="1" x14ac:dyDescent="0.3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11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</row>
    <row r="797" spans="1:50" ht="14.25" customHeight="1" x14ac:dyDescent="0.3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11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</row>
    <row r="798" spans="1:50" ht="14.25" customHeight="1" x14ac:dyDescent="0.3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11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</row>
    <row r="799" spans="1:50" ht="14.25" customHeight="1" x14ac:dyDescent="0.3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11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</row>
    <row r="800" spans="1:50" ht="14.25" customHeight="1" x14ac:dyDescent="0.3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11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</row>
    <row r="801" spans="1:50" ht="14.25" customHeight="1" x14ac:dyDescent="0.3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11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</row>
    <row r="802" spans="1:50" ht="14.25" customHeight="1" x14ac:dyDescent="0.3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11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</row>
    <row r="803" spans="1:50" ht="14.25" customHeight="1" x14ac:dyDescent="0.3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11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</row>
    <row r="804" spans="1:50" ht="14.25" customHeight="1" x14ac:dyDescent="0.3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11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</row>
    <row r="805" spans="1:50" ht="14.25" customHeight="1" x14ac:dyDescent="0.3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11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</row>
    <row r="806" spans="1:50" ht="14.25" customHeight="1" x14ac:dyDescent="0.3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11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</row>
    <row r="807" spans="1:50" ht="14.25" customHeight="1" x14ac:dyDescent="0.3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11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</row>
    <row r="808" spans="1:50" ht="14.25" customHeight="1" x14ac:dyDescent="0.3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11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</row>
    <row r="809" spans="1:50" ht="14.25" customHeight="1" x14ac:dyDescent="0.3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11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</row>
    <row r="810" spans="1:50" ht="14.25" customHeight="1" x14ac:dyDescent="0.3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11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</row>
    <row r="811" spans="1:50" ht="14.25" customHeight="1" x14ac:dyDescent="0.3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11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</row>
    <row r="812" spans="1:50" ht="14.25" customHeight="1" x14ac:dyDescent="0.3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11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</row>
    <row r="813" spans="1:50" ht="14.25" customHeight="1" x14ac:dyDescent="0.3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11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</row>
    <row r="814" spans="1:50" ht="14.25" customHeight="1" x14ac:dyDescent="0.3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11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</row>
    <row r="815" spans="1:50" ht="14.25" customHeight="1" x14ac:dyDescent="0.3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11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</row>
    <row r="816" spans="1:50" ht="14.25" customHeight="1" x14ac:dyDescent="0.3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11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</row>
    <row r="817" spans="1:50" ht="14.25" customHeight="1" x14ac:dyDescent="0.3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11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</row>
    <row r="818" spans="1:50" ht="14.25" customHeight="1" x14ac:dyDescent="0.3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11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</row>
    <row r="819" spans="1:50" ht="14.25" customHeight="1" x14ac:dyDescent="0.3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11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</row>
    <row r="820" spans="1:50" ht="14.25" customHeight="1" x14ac:dyDescent="0.3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11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</row>
    <row r="821" spans="1:50" ht="14.25" customHeight="1" x14ac:dyDescent="0.3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11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</row>
    <row r="822" spans="1:50" ht="14.25" customHeight="1" x14ac:dyDescent="0.3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11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</row>
    <row r="823" spans="1:50" ht="14.25" customHeight="1" x14ac:dyDescent="0.3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11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</row>
    <row r="824" spans="1:50" ht="14.25" customHeight="1" x14ac:dyDescent="0.3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11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</row>
    <row r="825" spans="1:50" ht="14.25" customHeight="1" x14ac:dyDescent="0.3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11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</row>
    <row r="826" spans="1:50" ht="14.25" customHeight="1" x14ac:dyDescent="0.3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11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</row>
    <row r="827" spans="1:50" ht="14.25" customHeight="1" x14ac:dyDescent="0.3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11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</row>
    <row r="828" spans="1:50" ht="14.25" customHeight="1" x14ac:dyDescent="0.3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11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</row>
    <row r="829" spans="1:50" ht="14.25" customHeight="1" x14ac:dyDescent="0.3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11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</row>
    <row r="830" spans="1:50" ht="14.25" customHeight="1" x14ac:dyDescent="0.3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11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</row>
    <row r="831" spans="1:50" ht="14.25" customHeight="1" x14ac:dyDescent="0.3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11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</row>
    <row r="832" spans="1:50" ht="14.25" customHeight="1" x14ac:dyDescent="0.3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11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</row>
    <row r="833" spans="1:50" ht="14.25" customHeight="1" x14ac:dyDescent="0.3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11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</row>
    <row r="834" spans="1:50" ht="14.25" customHeight="1" x14ac:dyDescent="0.3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11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</row>
    <row r="835" spans="1:50" ht="14.25" customHeight="1" x14ac:dyDescent="0.3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11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</row>
    <row r="836" spans="1:50" ht="14.25" customHeight="1" x14ac:dyDescent="0.3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11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</row>
    <row r="837" spans="1:50" ht="14.25" customHeight="1" x14ac:dyDescent="0.3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11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</row>
    <row r="838" spans="1:50" ht="14.25" customHeight="1" x14ac:dyDescent="0.3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11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</row>
    <row r="839" spans="1:50" ht="14.25" customHeight="1" x14ac:dyDescent="0.3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11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</row>
    <row r="840" spans="1:50" ht="14.25" customHeight="1" x14ac:dyDescent="0.3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11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</row>
    <row r="841" spans="1:50" ht="14.25" customHeight="1" x14ac:dyDescent="0.3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11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</row>
    <row r="842" spans="1:50" ht="14.25" customHeight="1" x14ac:dyDescent="0.3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11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</row>
    <row r="843" spans="1:50" ht="14.25" customHeight="1" x14ac:dyDescent="0.3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11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</row>
    <row r="844" spans="1:50" ht="14.25" customHeight="1" x14ac:dyDescent="0.3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11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</row>
    <row r="845" spans="1:50" ht="14.25" customHeight="1" x14ac:dyDescent="0.3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11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</row>
    <row r="846" spans="1:50" ht="14.25" customHeight="1" x14ac:dyDescent="0.3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11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</row>
    <row r="847" spans="1:50" ht="14.25" customHeight="1" x14ac:dyDescent="0.3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11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</row>
    <row r="848" spans="1:50" ht="14.25" customHeight="1" x14ac:dyDescent="0.3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11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</row>
    <row r="849" spans="1:50" ht="14.25" customHeight="1" x14ac:dyDescent="0.3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11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</row>
    <row r="850" spans="1:50" ht="14.25" customHeight="1" x14ac:dyDescent="0.3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11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</row>
    <row r="851" spans="1:50" ht="14.25" customHeight="1" x14ac:dyDescent="0.3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11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</row>
    <row r="852" spans="1:50" ht="14.25" customHeight="1" x14ac:dyDescent="0.3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11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</row>
    <row r="853" spans="1:50" ht="14.25" customHeight="1" x14ac:dyDescent="0.3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11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</row>
    <row r="854" spans="1:50" ht="14.25" customHeight="1" x14ac:dyDescent="0.3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11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</row>
    <row r="855" spans="1:50" ht="14.25" customHeight="1" x14ac:dyDescent="0.3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11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</row>
    <row r="856" spans="1:50" ht="14.25" customHeight="1" x14ac:dyDescent="0.3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11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</row>
    <row r="857" spans="1:50" ht="14.25" customHeight="1" x14ac:dyDescent="0.3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11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</row>
    <row r="858" spans="1:50" ht="14.25" customHeight="1" x14ac:dyDescent="0.3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11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</row>
    <row r="859" spans="1:50" ht="14.25" customHeight="1" x14ac:dyDescent="0.3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11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</row>
    <row r="860" spans="1:50" ht="14.25" customHeight="1" x14ac:dyDescent="0.3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11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</row>
    <row r="861" spans="1:50" ht="14.25" customHeight="1" x14ac:dyDescent="0.3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11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</row>
    <row r="862" spans="1:50" ht="14.25" customHeight="1" x14ac:dyDescent="0.3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11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</row>
    <row r="863" spans="1:50" ht="14.25" customHeight="1" x14ac:dyDescent="0.3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11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</row>
    <row r="864" spans="1:50" ht="14.25" customHeight="1" x14ac:dyDescent="0.3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11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</row>
    <row r="865" spans="1:50" ht="14.25" customHeight="1" x14ac:dyDescent="0.3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11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</row>
    <row r="866" spans="1:50" ht="14.25" customHeight="1" x14ac:dyDescent="0.3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11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</row>
    <row r="867" spans="1:50" ht="14.25" customHeight="1" x14ac:dyDescent="0.3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11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</row>
    <row r="868" spans="1:50" ht="14.25" customHeight="1" x14ac:dyDescent="0.3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11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</row>
    <row r="869" spans="1:50" ht="14.25" customHeight="1" x14ac:dyDescent="0.3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11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</row>
    <row r="870" spans="1:50" ht="14.25" customHeight="1" x14ac:dyDescent="0.3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11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</row>
    <row r="871" spans="1:50" ht="14.25" customHeight="1" x14ac:dyDescent="0.3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11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</row>
    <row r="872" spans="1:50" ht="14.25" customHeight="1" x14ac:dyDescent="0.3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11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</row>
    <row r="873" spans="1:50" ht="14.25" customHeight="1" x14ac:dyDescent="0.3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11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</row>
    <row r="874" spans="1:50" ht="14.25" customHeight="1" x14ac:dyDescent="0.3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11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</row>
    <row r="875" spans="1:50" ht="14.25" customHeight="1" x14ac:dyDescent="0.3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11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</row>
    <row r="876" spans="1:50" ht="14.25" customHeight="1" x14ac:dyDescent="0.3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11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</row>
    <row r="877" spans="1:50" ht="14.25" customHeight="1" x14ac:dyDescent="0.3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11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</row>
    <row r="878" spans="1:50" ht="14.25" customHeight="1" x14ac:dyDescent="0.3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11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</row>
    <row r="879" spans="1:50" ht="14.25" customHeight="1" x14ac:dyDescent="0.3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11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</row>
    <row r="880" spans="1:50" ht="14.25" customHeight="1" x14ac:dyDescent="0.3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11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</row>
    <row r="881" spans="1:50" ht="14.25" customHeight="1" x14ac:dyDescent="0.3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11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</row>
    <row r="882" spans="1:50" ht="14.25" customHeight="1" x14ac:dyDescent="0.3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11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</row>
    <row r="883" spans="1:50" ht="14.25" customHeight="1" x14ac:dyDescent="0.3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11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</row>
    <row r="884" spans="1:50" ht="14.25" customHeight="1" x14ac:dyDescent="0.3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11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</row>
    <row r="885" spans="1:50" ht="14.25" customHeight="1" x14ac:dyDescent="0.3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11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</row>
    <row r="886" spans="1:50" ht="14.25" customHeight="1" x14ac:dyDescent="0.3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11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</row>
    <row r="887" spans="1:50" ht="14.25" customHeight="1" x14ac:dyDescent="0.3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11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</row>
    <row r="888" spans="1:50" ht="14.25" customHeight="1" x14ac:dyDescent="0.3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11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</row>
    <row r="889" spans="1:50" ht="14.25" customHeight="1" x14ac:dyDescent="0.3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11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</row>
    <row r="890" spans="1:50" ht="14.25" customHeight="1" x14ac:dyDescent="0.3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11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</row>
    <row r="891" spans="1:50" ht="14.25" customHeight="1" x14ac:dyDescent="0.3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11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</row>
    <row r="892" spans="1:50" ht="14.25" customHeight="1" x14ac:dyDescent="0.3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11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</row>
    <row r="893" spans="1:50" ht="14.25" customHeight="1" x14ac:dyDescent="0.3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11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</row>
    <row r="894" spans="1:50" ht="14.25" customHeight="1" x14ac:dyDescent="0.3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11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</row>
    <row r="895" spans="1:50" ht="14.25" customHeight="1" x14ac:dyDescent="0.3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11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</row>
    <row r="896" spans="1:50" ht="14.25" customHeight="1" x14ac:dyDescent="0.3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11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</row>
    <row r="897" spans="1:50" ht="14.25" customHeight="1" x14ac:dyDescent="0.3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11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</row>
    <row r="898" spans="1:50" ht="14.25" customHeight="1" x14ac:dyDescent="0.3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11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</row>
    <row r="899" spans="1:50" ht="14.25" customHeight="1" x14ac:dyDescent="0.3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11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</row>
    <row r="900" spans="1:50" ht="14.25" customHeight="1" x14ac:dyDescent="0.3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11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</row>
    <row r="901" spans="1:50" ht="14.25" customHeight="1" x14ac:dyDescent="0.3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11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</row>
    <row r="902" spans="1:50" ht="14.25" customHeight="1" x14ac:dyDescent="0.3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11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</row>
    <row r="903" spans="1:50" ht="14.25" customHeight="1" x14ac:dyDescent="0.3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11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</row>
    <row r="904" spans="1:50" ht="14.25" customHeight="1" x14ac:dyDescent="0.3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11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</row>
    <row r="905" spans="1:50" ht="14.25" customHeight="1" x14ac:dyDescent="0.3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11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</row>
    <row r="906" spans="1:50" ht="14.25" customHeight="1" x14ac:dyDescent="0.3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11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</row>
    <row r="907" spans="1:50" ht="14.25" customHeight="1" x14ac:dyDescent="0.3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11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</row>
    <row r="908" spans="1:50" ht="14.25" customHeight="1" x14ac:dyDescent="0.3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11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</row>
    <row r="909" spans="1:50" ht="14.25" customHeight="1" x14ac:dyDescent="0.3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11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</row>
    <row r="910" spans="1:50" ht="14.25" customHeight="1" x14ac:dyDescent="0.3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11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</row>
    <row r="911" spans="1:50" ht="14.25" customHeight="1" x14ac:dyDescent="0.3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11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</row>
    <row r="912" spans="1:50" ht="14.25" customHeight="1" x14ac:dyDescent="0.3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11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</row>
    <row r="913" spans="1:50" ht="14.25" customHeight="1" x14ac:dyDescent="0.3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11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</row>
    <row r="914" spans="1:50" ht="14.25" customHeight="1" x14ac:dyDescent="0.3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11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</row>
  </sheetData>
  <mergeCells count="9">
    <mergeCell ref="O19:O30"/>
    <mergeCell ref="C16:C19"/>
    <mergeCell ref="C3:L3"/>
    <mergeCell ref="C5:L5"/>
    <mergeCell ref="C9:G9"/>
    <mergeCell ref="C10:G10"/>
    <mergeCell ref="K17:M30"/>
    <mergeCell ref="G17:I30"/>
    <mergeCell ref="C8:I8"/>
  </mergeCells>
  <pageMargins left="0.7" right="0.7" top="0.75" bottom="0.75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A1:AO82"/>
  <sheetViews>
    <sheetView showGridLines="0" topLeftCell="S58" zoomScale="70" zoomScaleNormal="70" workbookViewId="0">
      <selection activeCell="Y76" sqref="Y76"/>
    </sheetView>
  </sheetViews>
  <sheetFormatPr baseColWidth="10" defaultColWidth="12.4609375" defaultRowHeight="15.75" customHeight="1" x14ac:dyDescent="0.3"/>
  <cols>
    <col min="1" max="1" width="9" customWidth="1"/>
    <col min="2" max="2" width="3.61328125" customWidth="1"/>
    <col min="5" max="5" width="10.84375" customWidth="1"/>
    <col min="6" max="6" width="8.61328125" customWidth="1"/>
    <col min="7" max="7" width="10" customWidth="1"/>
    <col min="8" max="8" width="12" customWidth="1"/>
    <col min="10" max="10" width="11" customWidth="1"/>
    <col min="13" max="13" width="40.3828125" customWidth="1"/>
    <col min="14" max="17" width="10" customWidth="1"/>
    <col min="20" max="20" width="40.3828125" customWidth="1"/>
    <col min="21" max="22" width="11.23046875" customWidth="1"/>
    <col min="23" max="23" width="10.23046875" customWidth="1"/>
    <col min="24" max="24" width="2.3828125" customWidth="1"/>
    <col min="29" max="29" width="37.23046875" customWidth="1"/>
    <col min="30" max="32" width="8.4609375" customWidth="1"/>
    <col min="33" max="33" width="0.61328125" style="101" customWidth="1"/>
    <col min="34" max="34" width="7.921875" customWidth="1"/>
    <col min="35" max="35" width="8.4609375" customWidth="1"/>
    <col min="36" max="36" width="6" customWidth="1"/>
    <col min="37" max="37" width="1.15234375" style="101" customWidth="1"/>
    <col min="38" max="39" width="8.4609375" customWidth="1"/>
    <col min="40" max="40" width="6.84375" customWidth="1"/>
    <col min="41" max="41" width="3.4609375" customWidth="1"/>
  </cols>
  <sheetData>
    <row r="1" spans="1:41" ht="13" x14ac:dyDescent="0.3">
      <c r="A1" s="3"/>
      <c r="B1" s="3"/>
      <c r="M1" s="3"/>
      <c r="N1" s="3"/>
      <c r="O1" s="3"/>
      <c r="P1" s="3"/>
      <c r="Q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</row>
    <row r="2" spans="1:41" ht="14.5" x14ac:dyDescent="0.35">
      <c r="A2" s="3"/>
      <c r="B2" s="3"/>
      <c r="D2" s="160" t="s">
        <v>2</v>
      </c>
      <c r="M2" s="3"/>
      <c r="N2" s="3"/>
      <c r="O2" s="3"/>
      <c r="P2" s="3"/>
      <c r="Q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</row>
    <row r="3" spans="1:41" ht="13" x14ac:dyDescent="0.3">
      <c r="A3" s="3"/>
      <c r="B3" s="3"/>
      <c r="M3" s="3"/>
      <c r="N3" s="3"/>
      <c r="O3" s="3"/>
      <c r="P3" s="3"/>
      <c r="Q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</row>
    <row r="4" spans="1:41" ht="34.5" customHeight="1" x14ac:dyDescent="0.35">
      <c r="A4" s="3"/>
      <c r="B4" s="3"/>
      <c r="D4" s="1"/>
      <c r="E4" s="150" t="s">
        <v>3</v>
      </c>
      <c r="F4" s="151" t="s">
        <v>4</v>
      </c>
      <c r="G4" s="151" t="s">
        <v>5</v>
      </c>
      <c r="H4" s="151" t="s">
        <v>6</v>
      </c>
      <c r="I4" s="151" t="s">
        <v>7</v>
      </c>
      <c r="J4" s="151" t="s">
        <v>8</v>
      </c>
      <c r="M4" s="3"/>
      <c r="N4" s="3"/>
      <c r="O4" s="3"/>
      <c r="P4" s="3"/>
      <c r="Q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24" customHeight="1" x14ac:dyDescent="0.3">
      <c r="A5" s="2"/>
      <c r="B5" s="2"/>
      <c r="C5" s="2"/>
      <c r="D5" s="16" t="s">
        <v>9</v>
      </c>
      <c r="E5" s="17" t="s">
        <v>10</v>
      </c>
      <c r="F5" s="17" t="s">
        <v>10</v>
      </c>
      <c r="G5" s="17" t="s">
        <v>10</v>
      </c>
      <c r="H5" s="17" t="s">
        <v>10</v>
      </c>
      <c r="I5" s="17" t="s">
        <v>10</v>
      </c>
      <c r="J5" s="18" t="s">
        <v>10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</row>
    <row r="6" spans="1:41" ht="24" customHeight="1" x14ac:dyDescent="0.3">
      <c r="A6" s="2"/>
      <c r="B6" s="2"/>
      <c r="C6" s="2"/>
      <c r="D6" s="19" t="s">
        <v>11</v>
      </c>
      <c r="E6" s="20" t="s">
        <v>10</v>
      </c>
      <c r="F6" s="20" t="s">
        <v>10</v>
      </c>
      <c r="G6" s="20" t="s">
        <v>10</v>
      </c>
      <c r="H6" s="20" t="s">
        <v>10</v>
      </c>
      <c r="I6" s="20" t="s">
        <v>10</v>
      </c>
      <c r="J6" s="21" t="s">
        <v>10</v>
      </c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</row>
    <row r="7" spans="1:41" ht="24" customHeight="1" x14ac:dyDescent="0.3">
      <c r="A7" s="2"/>
      <c r="B7" s="2"/>
      <c r="C7" s="2"/>
      <c r="D7" s="19" t="s">
        <v>12</v>
      </c>
      <c r="E7" s="20" t="s">
        <v>10</v>
      </c>
      <c r="F7" s="20" t="s">
        <v>10</v>
      </c>
      <c r="G7" s="20" t="s">
        <v>10</v>
      </c>
      <c r="H7" s="20" t="s">
        <v>10</v>
      </c>
      <c r="I7" s="20" t="s">
        <v>10</v>
      </c>
      <c r="J7" s="21" t="s">
        <v>10</v>
      </c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</row>
    <row r="8" spans="1:41" ht="24" customHeight="1" x14ac:dyDescent="0.3">
      <c r="A8" s="2"/>
      <c r="B8" s="2"/>
      <c r="C8" s="2"/>
      <c r="D8" s="19" t="s">
        <v>13</v>
      </c>
      <c r="E8" s="20" t="s">
        <v>10</v>
      </c>
      <c r="F8" s="20" t="s">
        <v>10</v>
      </c>
      <c r="G8" s="20" t="s">
        <v>10</v>
      </c>
      <c r="H8" s="20" t="s">
        <v>10</v>
      </c>
      <c r="I8" s="20" t="s">
        <v>10</v>
      </c>
      <c r="J8" s="21" t="s">
        <v>10</v>
      </c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</row>
    <row r="9" spans="1:41" ht="24" customHeight="1" x14ac:dyDescent="0.3">
      <c r="A9" s="2"/>
      <c r="B9" s="2"/>
      <c r="C9" s="2"/>
      <c r="D9" s="19" t="s">
        <v>14</v>
      </c>
      <c r="E9" s="20" t="s">
        <v>10</v>
      </c>
      <c r="F9" s="20" t="s">
        <v>10</v>
      </c>
      <c r="G9" s="20" t="s">
        <v>10</v>
      </c>
      <c r="H9" s="20" t="s">
        <v>10</v>
      </c>
      <c r="I9" s="20" t="s">
        <v>10</v>
      </c>
      <c r="J9" s="21" t="s">
        <v>10</v>
      </c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</row>
    <row r="10" spans="1:41" ht="24" customHeight="1" x14ac:dyDescent="0.3">
      <c r="A10" s="2"/>
      <c r="B10" s="2"/>
      <c r="C10" s="2"/>
      <c r="D10" s="19" t="s">
        <v>15</v>
      </c>
      <c r="E10" s="20" t="s">
        <v>10</v>
      </c>
      <c r="F10" s="20" t="s">
        <v>10</v>
      </c>
      <c r="G10" s="20" t="s">
        <v>10</v>
      </c>
      <c r="H10" s="20" t="s">
        <v>10</v>
      </c>
      <c r="I10" s="20" t="s">
        <v>10</v>
      </c>
      <c r="J10" s="21" t="s">
        <v>10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</row>
    <row r="11" spans="1:41" ht="24" customHeight="1" x14ac:dyDescent="0.3">
      <c r="A11" s="2"/>
      <c r="B11" s="2"/>
      <c r="C11" s="2"/>
      <c r="D11" s="19" t="s">
        <v>16</v>
      </c>
      <c r="E11" s="20" t="s">
        <v>10</v>
      </c>
      <c r="F11" s="20" t="s">
        <v>10</v>
      </c>
      <c r="G11" s="20" t="s">
        <v>10</v>
      </c>
      <c r="H11" s="20" t="s">
        <v>10</v>
      </c>
      <c r="I11" s="20" t="s">
        <v>10</v>
      </c>
      <c r="J11" s="21" t="s">
        <v>10</v>
      </c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</row>
    <row r="12" spans="1:41" ht="24" customHeight="1" x14ac:dyDescent="0.3">
      <c r="A12" s="2"/>
      <c r="B12" s="2"/>
      <c r="C12" s="2"/>
      <c r="D12" s="19" t="s">
        <v>17</v>
      </c>
      <c r="E12" s="20" t="s">
        <v>10</v>
      </c>
      <c r="F12" s="20" t="s">
        <v>10</v>
      </c>
      <c r="G12" s="20" t="s">
        <v>10</v>
      </c>
      <c r="H12" s="20" t="s">
        <v>10</v>
      </c>
      <c r="I12" s="20" t="s">
        <v>10</v>
      </c>
      <c r="J12" s="21" t="s">
        <v>10</v>
      </c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</row>
    <row r="13" spans="1:41" ht="24" customHeight="1" x14ac:dyDescent="0.3">
      <c r="A13" s="2"/>
      <c r="B13" s="2"/>
      <c r="C13" s="2"/>
      <c r="D13" s="22" t="s">
        <v>18</v>
      </c>
      <c r="E13" s="23" t="s">
        <v>10</v>
      </c>
      <c r="F13" s="23" t="s">
        <v>10</v>
      </c>
      <c r="G13" s="23" t="s">
        <v>10</v>
      </c>
      <c r="H13" s="23" t="s">
        <v>10</v>
      </c>
      <c r="I13" s="23" t="s">
        <v>10</v>
      </c>
      <c r="J13" s="24" t="s">
        <v>10</v>
      </c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</row>
    <row r="14" spans="1:41" ht="26.25" customHeight="1" x14ac:dyDescent="0.3">
      <c r="A14" s="2"/>
      <c r="B14" s="2"/>
      <c r="C14" s="2"/>
      <c r="D14" s="152" t="s">
        <v>19</v>
      </c>
      <c r="E14" s="153" t="s">
        <v>20</v>
      </c>
      <c r="F14" s="153" t="s">
        <v>20</v>
      </c>
      <c r="G14" s="153" t="s">
        <v>20</v>
      </c>
      <c r="H14" s="153" t="s">
        <v>20</v>
      </c>
      <c r="I14" s="153" t="s">
        <v>20</v>
      </c>
      <c r="J14" s="154" t="s">
        <v>20</v>
      </c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</row>
    <row r="15" spans="1:41" ht="13" x14ac:dyDescent="0.3">
      <c r="A15" s="3"/>
      <c r="B15" s="3"/>
      <c r="M15" s="3"/>
      <c r="N15" s="3"/>
      <c r="O15" s="3"/>
      <c r="P15" s="3"/>
      <c r="Q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</row>
    <row r="16" spans="1:41" ht="13" x14ac:dyDescent="0.3">
      <c r="A16" s="3"/>
      <c r="B16" s="3"/>
      <c r="M16" s="3"/>
      <c r="N16" s="3"/>
      <c r="O16" s="3"/>
      <c r="P16" s="3"/>
      <c r="Q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</row>
    <row r="17" spans="1:41" ht="13" x14ac:dyDescent="0.3">
      <c r="A17" s="3"/>
      <c r="B17" s="3"/>
      <c r="M17" s="3"/>
      <c r="N17" s="3"/>
      <c r="O17" s="3"/>
      <c r="P17" s="3"/>
      <c r="Q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</row>
    <row r="18" spans="1:41" ht="13" x14ac:dyDescent="0.3">
      <c r="A18" s="3"/>
      <c r="B18" s="3"/>
      <c r="M18" s="3"/>
      <c r="N18" s="3"/>
      <c r="O18" s="3"/>
      <c r="P18" s="3"/>
      <c r="Q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</row>
    <row r="19" spans="1:41" ht="13" x14ac:dyDescent="0.3">
      <c r="A19" s="3"/>
      <c r="B19" s="3"/>
      <c r="M19" s="3"/>
      <c r="N19" s="3"/>
      <c r="O19" s="3"/>
      <c r="P19" s="3"/>
      <c r="Q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</row>
    <row r="20" spans="1:41" ht="13" x14ac:dyDescent="0.3">
      <c r="A20" s="3"/>
      <c r="B20" s="3"/>
      <c r="M20" s="3"/>
      <c r="N20" s="3"/>
      <c r="O20" s="3"/>
      <c r="P20" s="3"/>
      <c r="Q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</row>
    <row r="21" spans="1:41" ht="13" x14ac:dyDescent="0.3">
      <c r="A21" s="3"/>
      <c r="B21" s="3"/>
      <c r="M21" s="3"/>
      <c r="N21" s="3"/>
      <c r="O21" s="3"/>
      <c r="P21" s="3"/>
      <c r="Q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</row>
    <row r="22" spans="1:41" ht="14.5" x14ac:dyDescent="0.35">
      <c r="A22" s="3"/>
      <c r="B22" s="3"/>
      <c r="M22" s="160" t="s">
        <v>21</v>
      </c>
      <c r="N22" s="3"/>
      <c r="O22" s="3"/>
      <c r="P22" s="3"/>
      <c r="Q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</row>
    <row r="23" spans="1:41" ht="13" x14ac:dyDescent="0.3">
      <c r="A23" s="3"/>
      <c r="B23" s="3"/>
      <c r="M23" s="3"/>
      <c r="N23" s="3"/>
      <c r="O23" s="3"/>
      <c r="P23" s="3"/>
      <c r="Q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</row>
    <row r="24" spans="1:41" ht="25.5" customHeight="1" x14ac:dyDescent="0.3">
      <c r="A24" s="3"/>
      <c r="B24" s="3"/>
      <c r="M24" s="155" t="s">
        <v>22</v>
      </c>
      <c r="N24" s="156" t="s">
        <v>23</v>
      </c>
      <c r="O24" s="156" t="s">
        <v>23</v>
      </c>
      <c r="P24" s="157" t="s">
        <v>23</v>
      </c>
      <c r="Q24" s="157" t="s">
        <v>23</v>
      </c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</row>
    <row r="25" spans="1:41" ht="30" customHeight="1" x14ac:dyDescent="0.35">
      <c r="A25" s="3"/>
      <c r="B25" s="3"/>
      <c r="M25" s="166" t="s">
        <v>24</v>
      </c>
      <c r="N25" s="167">
        <f t="shared" ref="N25:Q25" si="0">SUM(N26:N29)</f>
        <v>10000</v>
      </c>
      <c r="O25" s="167">
        <f t="shared" si="0"/>
        <v>1000</v>
      </c>
      <c r="P25" s="167">
        <f t="shared" si="0"/>
        <v>100</v>
      </c>
      <c r="Q25" s="167">
        <f t="shared" si="0"/>
        <v>100</v>
      </c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</row>
    <row r="26" spans="1:41" ht="24" customHeight="1" x14ac:dyDescent="0.3">
      <c r="A26" s="3"/>
      <c r="B26" s="3"/>
      <c r="M26" s="16" t="s">
        <v>25</v>
      </c>
      <c r="N26" s="162">
        <v>1000</v>
      </c>
      <c r="O26" s="162">
        <v>100</v>
      </c>
      <c r="P26" s="162">
        <v>10</v>
      </c>
      <c r="Q26" s="163">
        <v>10</v>
      </c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</row>
    <row r="27" spans="1:41" ht="24" customHeight="1" x14ac:dyDescent="0.3">
      <c r="A27" s="3"/>
      <c r="B27" s="3"/>
      <c r="M27" s="19" t="s">
        <v>26</v>
      </c>
      <c r="N27" s="164">
        <v>2000</v>
      </c>
      <c r="O27" s="164">
        <v>200</v>
      </c>
      <c r="P27" s="164">
        <v>20</v>
      </c>
      <c r="Q27" s="165">
        <v>20</v>
      </c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</row>
    <row r="28" spans="1:41" ht="24" customHeight="1" x14ac:dyDescent="0.3">
      <c r="A28" s="3"/>
      <c r="B28" s="3"/>
      <c r="M28" s="19" t="s">
        <v>27</v>
      </c>
      <c r="N28" s="164">
        <v>3000</v>
      </c>
      <c r="O28" s="164">
        <v>300</v>
      </c>
      <c r="P28" s="164">
        <v>30</v>
      </c>
      <c r="Q28" s="165">
        <v>30</v>
      </c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</row>
    <row r="29" spans="1:41" ht="24" customHeight="1" x14ac:dyDescent="0.3">
      <c r="A29" s="3"/>
      <c r="B29" s="3"/>
      <c r="M29" s="19" t="s">
        <v>28</v>
      </c>
      <c r="N29" s="164">
        <v>4000</v>
      </c>
      <c r="O29" s="164">
        <v>400</v>
      </c>
      <c r="P29" s="164">
        <v>40</v>
      </c>
      <c r="Q29" s="165">
        <v>40</v>
      </c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</row>
    <row r="30" spans="1:41" ht="30" customHeight="1" x14ac:dyDescent="0.35">
      <c r="A30" s="3"/>
      <c r="B30" s="3"/>
      <c r="M30" s="168" t="s">
        <v>29</v>
      </c>
      <c r="N30" s="161">
        <f t="shared" ref="N30:Q30" si="1">SUM(N31)</f>
        <v>5000</v>
      </c>
      <c r="O30" s="161">
        <f t="shared" si="1"/>
        <v>500</v>
      </c>
      <c r="P30" s="161">
        <f t="shared" si="1"/>
        <v>50</v>
      </c>
      <c r="Q30" s="161">
        <f t="shared" si="1"/>
        <v>50</v>
      </c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</row>
    <row r="31" spans="1:41" ht="24" customHeight="1" x14ac:dyDescent="0.3">
      <c r="A31" s="3"/>
      <c r="B31" s="3"/>
      <c r="M31" s="16" t="s">
        <v>30</v>
      </c>
      <c r="N31" s="162">
        <v>5000</v>
      </c>
      <c r="O31" s="162">
        <v>500</v>
      </c>
      <c r="P31" s="162">
        <v>50</v>
      </c>
      <c r="Q31" s="163">
        <v>50</v>
      </c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</row>
    <row r="32" spans="1:41" ht="24" customHeight="1" x14ac:dyDescent="0.3">
      <c r="A32" s="3"/>
      <c r="B32" s="3"/>
      <c r="M32" s="19" t="s">
        <v>31</v>
      </c>
      <c r="N32" s="164">
        <v>6000</v>
      </c>
      <c r="O32" s="164">
        <v>600</v>
      </c>
      <c r="P32" s="164">
        <v>60</v>
      </c>
      <c r="Q32" s="165">
        <v>60</v>
      </c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</row>
    <row r="33" spans="1:41" ht="24" customHeight="1" x14ac:dyDescent="0.3">
      <c r="A33" s="3"/>
      <c r="B33" s="3"/>
      <c r="M33" s="19" t="s">
        <v>32</v>
      </c>
      <c r="N33" s="164">
        <v>7000</v>
      </c>
      <c r="O33" s="164">
        <v>700</v>
      </c>
      <c r="P33" s="164">
        <v>70</v>
      </c>
      <c r="Q33" s="165">
        <v>70</v>
      </c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</row>
    <row r="34" spans="1:41" ht="30" customHeight="1" x14ac:dyDescent="0.35">
      <c r="A34" s="3"/>
      <c r="B34" s="3"/>
      <c r="M34" s="168" t="s">
        <v>33</v>
      </c>
      <c r="N34" s="161">
        <f t="shared" ref="N34:Q34" si="2">SUM(N32:N33)</f>
        <v>13000</v>
      </c>
      <c r="O34" s="161">
        <f t="shared" si="2"/>
        <v>1300</v>
      </c>
      <c r="P34" s="161">
        <f t="shared" si="2"/>
        <v>130</v>
      </c>
      <c r="Q34" s="161">
        <f t="shared" si="2"/>
        <v>130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</row>
    <row r="35" spans="1:41" ht="24" customHeight="1" x14ac:dyDescent="0.3">
      <c r="A35" s="3"/>
      <c r="B35" s="3"/>
      <c r="M35" s="16" t="s">
        <v>34</v>
      </c>
      <c r="N35" s="162">
        <v>8000</v>
      </c>
      <c r="O35" s="162">
        <v>800</v>
      </c>
      <c r="P35" s="162">
        <v>80</v>
      </c>
      <c r="Q35" s="163">
        <v>80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</row>
    <row r="36" spans="1:41" ht="24" customHeight="1" x14ac:dyDescent="0.3">
      <c r="A36" s="3"/>
      <c r="B36" s="3"/>
      <c r="M36" s="19" t="s">
        <v>35</v>
      </c>
      <c r="N36" s="164">
        <v>9000</v>
      </c>
      <c r="O36" s="164">
        <v>900</v>
      </c>
      <c r="P36" s="164">
        <v>90</v>
      </c>
      <c r="Q36" s="165">
        <v>90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</row>
    <row r="37" spans="1:41" ht="24" customHeight="1" x14ac:dyDescent="0.3">
      <c r="A37" s="3"/>
      <c r="B37" s="3"/>
      <c r="M37" s="159" t="s">
        <v>19</v>
      </c>
      <c r="N37" s="158">
        <f t="shared" ref="N37:Q37" si="3">SUM(N25,N30,N34)</f>
        <v>28000</v>
      </c>
      <c r="O37" s="158">
        <f t="shared" si="3"/>
        <v>2800</v>
      </c>
      <c r="P37" s="158">
        <f t="shared" si="3"/>
        <v>280</v>
      </c>
      <c r="Q37" s="158">
        <f t="shared" si="3"/>
        <v>280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</row>
    <row r="38" spans="1:41" ht="13" x14ac:dyDescent="0.3">
      <c r="A38" s="3"/>
      <c r="B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</row>
    <row r="39" spans="1:41" ht="13" x14ac:dyDescent="0.3">
      <c r="A39" s="3"/>
      <c r="B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</row>
    <row r="40" spans="1:41" ht="13" x14ac:dyDescent="0.3">
      <c r="A40" s="3"/>
      <c r="B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</row>
    <row r="41" spans="1:41" ht="13" x14ac:dyDescent="0.3">
      <c r="A41" s="3"/>
      <c r="B41" s="3"/>
      <c r="N41" s="3"/>
      <c r="O41" s="3"/>
      <c r="P41" s="3"/>
      <c r="Q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</row>
    <row r="42" spans="1:41" ht="13" x14ac:dyDescent="0.3">
      <c r="A42" s="3"/>
      <c r="B42" s="3"/>
      <c r="M42" s="3"/>
      <c r="N42" s="3"/>
      <c r="O42" s="3"/>
      <c r="P42" s="3"/>
      <c r="Q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</row>
    <row r="43" spans="1:41" ht="14.5" x14ac:dyDescent="0.35">
      <c r="A43" s="3"/>
      <c r="B43" s="3"/>
      <c r="T43" s="160" t="s">
        <v>36</v>
      </c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</row>
    <row r="44" spans="1:41" ht="13" x14ac:dyDescent="0.3">
      <c r="A44" s="3"/>
      <c r="B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</row>
    <row r="45" spans="1:41" ht="24.75" customHeight="1" x14ac:dyDescent="0.4">
      <c r="A45" s="3"/>
      <c r="B45" s="3"/>
      <c r="T45" s="169"/>
      <c r="U45" s="169"/>
      <c r="V45" s="247" t="s">
        <v>37</v>
      </c>
      <c r="W45" s="248"/>
      <c r="X45" s="170"/>
      <c r="Y45" s="247" t="s">
        <v>37</v>
      </c>
      <c r="Z45" s="248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</row>
    <row r="46" spans="1:41" ht="17" x14ac:dyDescent="0.4">
      <c r="A46" s="3"/>
      <c r="B46" s="3"/>
      <c r="T46" s="171"/>
      <c r="U46" s="169"/>
      <c r="V46" s="249" t="s">
        <v>38</v>
      </c>
      <c r="W46" s="250"/>
      <c r="X46" s="170"/>
      <c r="Y46" s="249" t="s">
        <v>38</v>
      </c>
      <c r="Z46" s="250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</row>
    <row r="47" spans="1:41" ht="34.5" customHeight="1" x14ac:dyDescent="0.4">
      <c r="A47" s="3"/>
      <c r="B47" s="3"/>
      <c r="T47" s="172" t="s">
        <v>22</v>
      </c>
      <c r="U47" s="173" t="s">
        <v>37</v>
      </c>
      <c r="V47" s="174" t="s">
        <v>39</v>
      </c>
      <c r="W47" s="174" t="s">
        <v>39</v>
      </c>
      <c r="X47" s="174"/>
      <c r="Y47" s="174" t="s">
        <v>39</v>
      </c>
      <c r="Z47" s="174" t="s">
        <v>39</v>
      </c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</row>
    <row r="48" spans="1:41" ht="22.5" customHeight="1" x14ac:dyDescent="0.3">
      <c r="A48" s="6"/>
      <c r="B48" s="6"/>
      <c r="T48" s="180" t="s">
        <v>25</v>
      </c>
      <c r="U48" s="181">
        <v>1000</v>
      </c>
      <c r="V48" s="181">
        <v>100</v>
      </c>
      <c r="W48" s="181">
        <v>10</v>
      </c>
      <c r="X48" s="182"/>
      <c r="Y48" s="181">
        <v>100</v>
      </c>
      <c r="Z48" s="181">
        <v>10</v>
      </c>
      <c r="AA48" s="6"/>
      <c r="AB48" s="6"/>
      <c r="AC48" s="6"/>
      <c r="AD48" s="6"/>
      <c r="AE48" s="6"/>
      <c r="AF48" s="6"/>
      <c r="AG48" s="100"/>
      <c r="AH48" s="6"/>
      <c r="AI48" s="6"/>
      <c r="AJ48" s="6"/>
      <c r="AK48" s="100"/>
      <c r="AL48" s="6"/>
      <c r="AM48" s="6"/>
      <c r="AN48" s="6"/>
      <c r="AO48" s="6"/>
    </row>
    <row r="49" spans="1:41" ht="22.5" customHeight="1" x14ac:dyDescent="0.3">
      <c r="A49" s="6"/>
      <c r="B49" s="6"/>
      <c r="T49" s="183" t="s">
        <v>26</v>
      </c>
      <c r="U49" s="184">
        <v>2000</v>
      </c>
      <c r="V49" s="184">
        <v>200</v>
      </c>
      <c r="W49" s="184">
        <v>20</v>
      </c>
      <c r="X49" s="185"/>
      <c r="Y49" s="184">
        <v>200</v>
      </c>
      <c r="Z49" s="184">
        <v>20</v>
      </c>
      <c r="AA49" s="6"/>
      <c r="AB49" s="6"/>
      <c r="AC49" s="6"/>
      <c r="AD49" s="6"/>
      <c r="AE49" s="6"/>
      <c r="AF49" s="6"/>
      <c r="AG49" s="100"/>
      <c r="AH49" s="6"/>
      <c r="AI49" s="6"/>
      <c r="AJ49" s="6"/>
      <c r="AK49" s="100"/>
      <c r="AL49" s="6"/>
      <c r="AM49" s="6"/>
      <c r="AN49" s="6"/>
      <c r="AO49" s="6"/>
    </row>
    <row r="50" spans="1:41" ht="22.5" customHeight="1" x14ac:dyDescent="0.3">
      <c r="A50" s="6"/>
      <c r="B50" s="6"/>
      <c r="T50" s="183" t="s">
        <v>27</v>
      </c>
      <c r="U50" s="184">
        <v>3000</v>
      </c>
      <c r="V50" s="184">
        <v>300</v>
      </c>
      <c r="W50" s="184">
        <v>30</v>
      </c>
      <c r="X50" s="185"/>
      <c r="Y50" s="184">
        <v>300</v>
      </c>
      <c r="Z50" s="184">
        <v>30</v>
      </c>
      <c r="AA50" s="6"/>
      <c r="AB50" s="6"/>
      <c r="AC50" s="6"/>
      <c r="AD50" s="6"/>
      <c r="AE50" s="6"/>
      <c r="AF50" s="6"/>
      <c r="AG50" s="100"/>
      <c r="AH50" s="6"/>
      <c r="AI50" s="6"/>
      <c r="AJ50" s="6"/>
      <c r="AK50" s="100"/>
      <c r="AL50" s="6"/>
      <c r="AM50" s="6"/>
      <c r="AN50" s="6"/>
      <c r="AO50" s="6"/>
    </row>
    <row r="51" spans="1:41" ht="22.5" customHeight="1" x14ac:dyDescent="0.3">
      <c r="A51" s="6"/>
      <c r="B51" s="6"/>
      <c r="T51" s="183" t="s">
        <v>28</v>
      </c>
      <c r="U51" s="184">
        <v>4000</v>
      </c>
      <c r="V51" s="184">
        <v>400</v>
      </c>
      <c r="W51" s="184">
        <v>40</v>
      </c>
      <c r="X51" s="185"/>
      <c r="Y51" s="184">
        <v>400</v>
      </c>
      <c r="Z51" s="184">
        <v>40</v>
      </c>
      <c r="AA51" s="6"/>
      <c r="AB51" s="6"/>
      <c r="AC51" s="6"/>
      <c r="AD51" s="6"/>
      <c r="AE51" s="6"/>
      <c r="AF51" s="6"/>
      <c r="AG51" s="100"/>
      <c r="AH51" s="6"/>
      <c r="AI51" s="6"/>
      <c r="AJ51" s="6"/>
      <c r="AK51" s="100"/>
      <c r="AL51" s="6"/>
      <c r="AM51" s="6"/>
      <c r="AN51" s="6"/>
      <c r="AO51" s="6"/>
    </row>
    <row r="52" spans="1:41" ht="22.5" customHeight="1" x14ac:dyDescent="0.3">
      <c r="A52" s="6"/>
      <c r="B52" s="6"/>
      <c r="T52" s="186" t="s">
        <v>24</v>
      </c>
      <c r="U52" s="175">
        <f t="shared" ref="U52:W52" si="4">SUM(U48:U51)</f>
        <v>10000</v>
      </c>
      <c r="V52" s="175">
        <f t="shared" si="4"/>
        <v>1000</v>
      </c>
      <c r="W52" s="175">
        <f t="shared" si="4"/>
        <v>100</v>
      </c>
      <c r="X52" s="176"/>
      <c r="Y52" s="175">
        <f t="shared" ref="Y52:Z52" si="5">SUM(Y48:Y51)</f>
        <v>1000</v>
      </c>
      <c r="Z52" s="175">
        <f t="shared" si="5"/>
        <v>100</v>
      </c>
      <c r="AA52" s="6"/>
      <c r="AB52" s="6"/>
      <c r="AC52" s="6"/>
      <c r="AD52" s="6"/>
      <c r="AE52" s="6"/>
      <c r="AF52" s="6"/>
      <c r="AG52" s="100"/>
      <c r="AH52" s="6"/>
      <c r="AI52" s="6"/>
      <c r="AJ52" s="6"/>
      <c r="AK52" s="100"/>
      <c r="AL52" s="6"/>
      <c r="AM52" s="6"/>
      <c r="AN52" s="6"/>
      <c r="AO52" s="6"/>
    </row>
    <row r="53" spans="1:41" ht="22.5" customHeight="1" x14ac:dyDescent="0.3">
      <c r="A53" s="6"/>
      <c r="B53" s="6"/>
      <c r="T53" s="180" t="s">
        <v>30</v>
      </c>
      <c r="U53" s="181">
        <v>5000</v>
      </c>
      <c r="V53" s="181">
        <v>500</v>
      </c>
      <c r="W53" s="181">
        <v>50</v>
      </c>
      <c r="X53" s="182"/>
      <c r="Y53" s="181">
        <v>500</v>
      </c>
      <c r="Z53" s="181">
        <v>50</v>
      </c>
      <c r="AA53" s="6"/>
      <c r="AB53" s="6"/>
      <c r="AC53" s="6"/>
      <c r="AD53" s="6"/>
      <c r="AE53" s="6"/>
      <c r="AF53" s="6"/>
      <c r="AG53" s="100"/>
      <c r="AH53" s="6"/>
      <c r="AI53" s="6"/>
      <c r="AJ53" s="6"/>
      <c r="AK53" s="100"/>
      <c r="AL53" s="6"/>
      <c r="AM53" s="6"/>
      <c r="AN53" s="6"/>
      <c r="AO53" s="6"/>
    </row>
    <row r="54" spans="1:41" ht="22.5" customHeight="1" x14ac:dyDescent="0.3">
      <c r="A54" s="6"/>
      <c r="B54" s="6"/>
      <c r="T54" s="186" t="s">
        <v>40</v>
      </c>
      <c r="U54" s="175">
        <f t="shared" ref="U54:W54" si="6">SUM(U53)</f>
        <v>5000</v>
      </c>
      <c r="V54" s="175">
        <f t="shared" si="6"/>
        <v>500</v>
      </c>
      <c r="W54" s="175">
        <f t="shared" si="6"/>
        <v>50</v>
      </c>
      <c r="X54" s="176"/>
      <c r="Y54" s="175">
        <f t="shared" ref="Y54:Z54" si="7">SUM(Y53)</f>
        <v>500</v>
      </c>
      <c r="Z54" s="175">
        <f t="shared" si="7"/>
        <v>50</v>
      </c>
      <c r="AA54" s="6"/>
      <c r="AB54" s="6"/>
      <c r="AC54" s="6"/>
      <c r="AD54" s="6"/>
      <c r="AE54" s="6"/>
      <c r="AF54" s="6"/>
      <c r="AG54" s="100"/>
      <c r="AH54" s="6"/>
      <c r="AI54" s="6"/>
      <c r="AJ54" s="6"/>
      <c r="AK54" s="100"/>
      <c r="AL54" s="6"/>
      <c r="AM54" s="6"/>
      <c r="AN54" s="6"/>
      <c r="AO54" s="6"/>
    </row>
    <row r="55" spans="1:41" ht="22.5" customHeight="1" x14ac:dyDescent="0.3">
      <c r="A55" s="6"/>
      <c r="B55" s="6"/>
      <c r="T55" s="180" t="s">
        <v>31</v>
      </c>
      <c r="U55" s="181">
        <v>6000</v>
      </c>
      <c r="V55" s="181">
        <v>600</v>
      </c>
      <c r="W55" s="181">
        <v>60</v>
      </c>
      <c r="X55" s="182"/>
      <c r="Y55" s="181">
        <v>600</v>
      </c>
      <c r="Z55" s="181">
        <v>60</v>
      </c>
      <c r="AA55" s="6"/>
      <c r="AB55" s="6"/>
      <c r="AC55" s="6"/>
      <c r="AD55" s="6"/>
      <c r="AE55" s="6"/>
      <c r="AF55" s="6"/>
      <c r="AG55" s="100"/>
      <c r="AH55" s="6"/>
      <c r="AI55" s="6"/>
      <c r="AJ55" s="6"/>
      <c r="AK55" s="100"/>
      <c r="AL55" s="6"/>
      <c r="AM55" s="6"/>
      <c r="AN55" s="6"/>
      <c r="AO55" s="6"/>
    </row>
    <row r="56" spans="1:41" ht="22.5" customHeight="1" x14ac:dyDescent="0.3">
      <c r="A56" s="6"/>
      <c r="B56" s="6"/>
      <c r="T56" s="183" t="s">
        <v>32</v>
      </c>
      <c r="U56" s="184">
        <v>7000</v>
      </c>
      <c r="V56" s="184">
        <v>700</v>
      </c>
      <c r="W56" s="184">
        <v>70</v>
      </c>
      <c r="X56" s="185"/>
      <c r="Y56" s="184">
        <v>700</v>
      </c>
      <c r="Z56" s="184">
        <v>70</v>
      </c>
      <c r="AA56" s="6"/>
      <c r="AB56" s="6"/>
      <c r="AC56" s="6"/>
      <c r="AD56" s="6"/>
      <c r="AE56" s="6"/>
      <c r="AF56" s="6"/>
      <c r="AG56" s="100"/>
      <c r="AH56" s="6"/>
      <c r="AI56" s="6"/>
      <c r="AJ56" s="6"/>
      <c r="AK56" s="100"/>
      <c r="AL56" s="6"/>
      <c r="AM56" s="6"/>
      <c r="AN56" s="6"/>
      <c r="AO56" s="6"/>
    </row>
    <row r="57" spans="1:41" ht="22.5" customHeight="1" x14ac:dyDescent="0.3">
      <c r="A57" s="6"/>
      <c r="B57" s="6"/>
      <c r="T57" s="186" t="s">
        <v>41</v>
      </c>
      <c r="U57" s="175">
        <f t="shared" ref="U57:W57" si="8">SUM(U55:U56)</f>
        <v>13000</v>
      </c>
      <c r="V57" s="175">
        <f t="shared" si="8"/>
        <v>1300</v>
      </c>
      <c r="W57" s="175">
        <f t="shared" si="8"/>
        <v>130</v>
      </c>
      <c r="X57" s="176"/>
      <c r="Y57" s="175">
        <f t="shared" ref="Y57:Z57" si="9">SUM(Y55:Y56)</f>
        <v>1300</v>
      </c>
      <c r="Z57" s="175">
        <f t="shared" si="9"/>
        <v>130</v>
      </c>
      <c r="AA57" s="6"/>
      <c r="AB57" s="6"/>
      <c r="AC57" s="6"/>
      <c r="AD57" s="6"/>
      <c r="AE57" s="6"/>
      <c r="AF57" s="6"/>
      <c r="AG57" s="100"/>
      <c r="AH57" s="6"/>
      <c r="AI57" s="6"/>
      <c r="AJ57" s="6"/>
      <c r="AK57" s="100"/>
      <c r="AL57" s="6"/>
      <c r="AM57" s="6"/>
      <c r="AN57" s="6"/>
      <c r="AO57" s="6"/>
    </row>
    <row r="58" spans="1:41" ht="22.5" customHeight="1" x14ac:dyDescent="0.3">
      <c r="A58" s="6"/>
      <c r="B58" s="6"/>
      <c r="T58" s="180" t="s">
        <v>34</v>
      </c>
      <c r="U58" s="181">
        <v>8000</v>
      </c>
      <c r="V58" s="181">
        <v>800</v>
      </c>
      <c r="W58" s="181">
        <v>80</v>
      </c>
      <c r="X58" s="182"/>
      <c r="Y58" s="181">
        <v>800</v>
      </c>
      <c r="Z58" s="181">
        <v>80</v>
      </c>
      <c r="AA58" s="6"/>
      <c r="AB58" s="6"/>
      <c r="AC58" s="6"/>
      <c r="AD58" s="6"/>
      <c r="AE58" s="6"/>
      <c r="AF58" s="6"/>
      <c r="AG58" s="100"/>
      <c r="AH58" s="6"/>
      <c r="AI58" s="6"/>
      <c r="AJ58" s="6"/>
      <c r="AK58" s="100"/>
      <c r="AL58" s="6"/>
      <c r="AM58" s="6"/>
      <c r="AN58" s="6"/>
      <c r="AO58" s="6"/>
    </row>
    <row r="59" spans="1:41" ht="22.5" customHeight="1" x14ac:dyDescent="0.3">
      <c r="A59" s="6"/>
      <c r="B59" s="6"/>
      <c r="T59" s="183" t="s">
        <v>35</v>
      </c>
      <c r="U59" s="184">
        <v>9000</v>
      </c>
      <c r="V59" s="184">
        <v>900</v>
      </c>
      <c r="W59" s="184">
        <v>90</v>
      </c>
      <c r="X59" s="185"/>
      <c r="Y59" s="184">
        <v>900</v>
      </c>
      <c r="Z59" s="184">
        <v>90</v>
      </c>
      <c r="AA59" s="6"/>
      <c r="AB59" s="6"/>
      <c r="AC59" s="6"/>
      <c r="AD59" s="6"/>
      <c r="AE59" s="6"/>
      <c r="AF59" s="6"/>
      <c r="AG59" s="100"/>
      <c r="AH59" s="6"/>
      <c r="AI59" s="6"/>
      <c r="AJ59" s="6"/>
      <c r="AK59" s="100"/>
      <c r="AL59" s="6"/>
      <c r="AM59" s="6"/>
      <c r="AN59" s="6"/>
      <c r="AO59" s="6"/>
    </row>
    <row r="60" spans="1:41" ht="26.25" customHeight="1" x14ac:dyDescent="0.3">
      <c r="A60" s="3"/>
      <c r="B60" s="3"/>
      <c r="T60" s="177" t="s">
        <v>19</v>
      </c>
      <c r="U60" s="178">
        <f t="shared" ref="U60:W60" si="10">SUM(U52,U54,U57,U58:U59)</f>
        <v>45000</v>
      </c>
      <c r="V60" s="178">
        <f t="shared" si="10"/>
        <v>4500</v>
      </c>
      <c r="W60" s="178">
        <f t="shared" si="10"/>
        <v>450</v>
      </c>
      <c r="X60" s="179"/>
      <c r="Y60" s="178">
        <f t="shared" ref="Y60:Z60" si="11">SUM(Y52,Y54,Y57,Y58:Y59)</f>
        <v>4500</v>
      </c>
      <c r="Z60" s="178">
        <f t="shared" si="11"/>
        <v>450</v>
      </c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</row>
    <row r="61" spans="1:41" ht="13" x14ac:dyDescent="0.3">
      <c r="A61" s="3"/>
      <c r="B61" s="3"/>
      <c r="M61" s="3"/>
      <c r="N61" s="3"/>
      <c r="O61" s="3"/>
      <c r="P61" s="3"/>
      <c r="Q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</row>
    <row r="62" spans="1:41" ht="13" x14ac:dyDescent="0.3">
      <c r="A62" s="3"/>
      <c r="B62" s="3"/>
      <c r="M62" s="3"/>
      <c r="N62" s="3"/>
      <c r="O62" s="3"/>
      <c r="P62" s="3"/>
      <c r="Q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</row>
    <row r="63" spans="1:41" ht="13" x14ac:dyDescent="0.3">
      <c r="A63" s="3"/>
      <c r="B63" s="3"/>
      <c r="M63" s="3"/>
      <c r="N63" s="3"/>
      <c r="O63" s="3"/>
      <c r="P63" s="3"/>
      <c r="Q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</row>
    <row r="64" spans="1:41" ht="13" x14ac:dyDescent="0.3">
      <c r="A64" s="3"/>
      <c r="B64" s="3"/>
      <c r="M64" s="3"/>
      <c r="N64" s="3"/>
      <c r="O64" s="3"/>
      <c r="P64" s="3"/>
      <c r="Q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</row>
    <row r="65" spans="1:41" ht="13" x14ac:dyDescent="0.3">
      <c r="A65" s="3"/>
      <c r="B65" s="3"/>
      <c r="M65" s="3"/>
      <c r="N65" s="3"/>
      <c r="O65" s="3"/>
      <c r="P65" s="3"/>
      <c r="Q65" s="3"/>
      <c r="T65" s="3"/>
      <c r="U65" s="3"/>
      <c r="V65" s="3"/>
      <c r="W65" s="3"/>
      <c r="X65" s="3"/>
      <c r="Y65" s="3"/>
      <c r="Z65" s="3"/>
      <c r="AA65" s="3"/>
      <c r="AB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</row>
    <row r="66" spans="1:41" ht="13" x14ac:dyDescent="0.3">
      <c r="A66" s="3"/>
      <c r="B66" s="3"/>
      <c r="M66" s="3"/>
      <c r="N66" s="3"/>
      <c r="O66" s="3"/>
      <c r="P66" s="3"/>
      <c r="Q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</row>
    <row r="67" spans="1:41" ht="13" x14ac:dyDescent="0.3">
      <c r="A67" s="3"/>
      <c r="B67" s="3"/>
      <c r="M67" s="3"/>
      <c r="N67" s="3"/>
      <c r="O67" s="3"/>
      <c r="P67" s="3"/>
      <c r="Q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</row>
    <row r="68" spans="1:41" ht="14.5" x14ac:dyDescent="0.35">
      <c r="A68" s="3"/>
      <c r="B68" s="3"/>
      <c r="M68" s="3"/>
      <c r="N68" s="3"/>
      <c r="O68" s="3"/>
      <c r="P68" s="3"/>
      <c r="Q68" s="3"/>
      <c r="T68" s="3"/>
      <c r="U68" s="3"/>
      <c r="V68" s="3"/>
      <c r="W68" s="3"/>
      <c r="X68" s="3"/>
      <c r="Y68" s="3"/>
      <c r="Z68" s="3"/>
      <c r="AA68" s="3"/>
      <c r="AB68" s="3"/>
      <c r="AC68" s="160" t="s">
        <v>42</v>
      </c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</row>
    <row r="69" spans="1:41" ht="13" x14ac:dyDescent="0.3">
      <c r="A69" s="3"/>
      <c r="B69" s="3"/>
      <c r="M69" s="3"/>
      <c r="N69" s="3"/>
      <c r="O69" s="3"/>
      <c r="P69" s="3"/>
      <c r="Q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</row>
    <row r="70" spans="1:41" ht="24" customHeight="1" x14ac:dyDescent="0.35">
      <c r="A70" s="3"/>
      <c r="B70" s="3"/>
      <c r="M70" s="3"/>
      <c r="N70" s="3"/>
      <c r="O70" s="3"/>
      <c r="P70" s="3"/>
      <c r="Q70" s="3"/>
      <c r="T70" s="3"/>
      <c r="U70" s="3"/>
      <c r="V70" s="3"/>
      <c r="W70" s="3"/>
      <c r="X70" s="3"/>
      <c r="Y70" s="3"/>
      <c r="Z70" s="3"/>
      <c r="AA70" s="3"/>
      <c r="AB70" s="3"/>
      <c r="AC70" s="26"/>
      <c r="AD70" s="251" t="s">
        <v>43</v>
      </c>
      <c r="AE70" s="245"/>
      <c r="AF70" s="245"/>
      <c r="AG70" s="245"/>
      <c r="AH70" s="245"/>
      <c r="AI70" s="245"/>
      <c r="AJ70" s="245"/>
      <c r="AK70" s="202"/>
      <c r="AL70" s="244" t="s">
        <v>44</v>
      </c>
      <c r="AM70" s="245"/>
      <c r="AN70" s="245"/>
      <c r="AO70" s="3"/>
    </row>
    <row r="71" spans="1:41" ht="24.75" customHeight="1" x14ac:dyDescent="0.35">
      <c r="A71" s="3"/>
      <c r="B71" s="3"/>
      <c r="M71" s="3"/>
      <c r="N71" s="3"/>
      <c r="O71" s="3"/>
      <c r="P71" s="3"/>
      <c r="Q71" s="3"/>
      <c r="T71" s="3"/>
      <c r="U71" s="3"/>
      <c r="V71" s="3"/>
      <c r="W71" s="3"/>
      <c r="X71" s="3"/>
      <c r="Y71" s="3"/>
      <c r="Z71" s="3"/>
      <c r="AA71" s="3"/>
      <c r="AB71" s="3"/>
      <c r="AC71" s="27"/>
      <c r="AD71" s="246" t="s">
        <v>39</v>
      </c>
      <c r="AE71" s="245"/>
      <c r="AF71" s="245"/>
      <c r="AG71" s="209"/>
      <c r="AH71" s="246" t="s">
        <v>39</v>
      </c>
      <c r="AI71" s="245"/>
      <c r="AJ71" s="197"/>
      <c r="AK71" s="197"/>
      <c r="AL71" s="197"/>
      <c r="AM71" s="197"/>
      <c r="AN71" s="197"/>
      <c r="AO71" s="3"/>
    </row>
    <row r="72" spans="1:41" ht="36.75" customHeight="1" x14ac:dyDescent="0.35">
      <c r="A72" s="3"/>
      <c r="B72" s="3"/>
      <c r="M72" s="3"/>
      <c r="N72" s="3"/>
      <c r="O72" s="3"/>
      <c r="P72" s="3"/>
      <c r="Q72" s="3"/>
      <c r="T72" s="3"/>
      <c r="U72" s="3"/>
      <c r="V72" s="3"/>
      <c r="W72" s="3"/>
      <c r="X72" s="3"/>
      <c r="Y72" s="3"/>
      <c r="Z72" s="3"/>
      <c r="AA72" s="3"/>
      <c r="AB72" s="3"/>
      <c r="AC72" s="196" t="s">
        <v>45</v>
      </c>
      <c r="AD72" s="198" t="s">
        <v>19</v>
      </c>
      <c r="AE72" s="199" t="s">
        <v>46</v>
      </c>
      <c r="AF72" s="199" t="s">
        <v>46</v>
      </c>
      <c r="AG72" s="199"/>
      <c r="AH72" s="199" t="s">
        <v>46</v>
      </c>
      <c r="AI72" s="199" t="s">
        <v>46</v>
      </c>
      <c r="AJ72" s="208" t="s">
        <v>47</v>
      </c>
      <c r="AK72" s="200"/>
      <c r="AL72" s="201" t="s">
        <v>48</v>
      </c>
      <c r="AM72" s="201" t="s">
        <v>48</v>
      </c>
      <c r="AN72" s="200" t="s">
        <v>47</v>
      </c>
      <c r="AO72" s="3"/>
    </row>
    <row r="73" spans="1:41" ht="22.5" customHeight="1" x14ac:dyDescent="0.3">
      <c r="A73" s="2"/>
      <c r="B73" s="2"/>
      <c r="M73" s="2"/>
      <c r="N73" s="2"/>
      <c r="O73" s="2"/>
      <c r="P73" s="2"/>
      <c r="Q73" s="2"/>
      <c r="T73" s="2"/>
      <c r="U73" s="2"/>
      <c r="V73" s="2"/>
      <c r="W73" s="2"/>
      <c r="X73" s="2"/>
      <c r="Y73" s="2"/>
      <c r="Z73" s="2"/>
      <c r="AA73" s="2"/>
      <c r="AB73" s="2"/>
      <c r="AC73" s="28" t="s">
        <v>25</v>
      </c>
      <c r="AD73" s="190">
        <v>71.7</v>
      </c>
      <c r="AE73" s="29">
        <v>16.5</v>
      </c>
      <c r="AF73" s="31">
        <v>55.2</v>
      </c>
      <c r="AG73" s="203"/>
      <c r="AH73" s="29">
        <v>471</v>
      </c>
      <c r="AI73" s="30">
        <v>1577</v>
      </c>
      <c r="AJ73" s="31">
        <v>3.6</v>
      </c>
      <c r="AK73" s="203"/>
      <c r="AL73" s="29">
        <v>16.399999999999999</v>
      </c>
      <c r="AM73" s="29">
        <v>756</v>
      </c>
      <c r="AN73" s="31">
        <v>4.5999999999999996</v>
      </c>
      <c r="AO73" s="2"/>
    </row>
    <row r="74" spans="1:41" ht="22.5" customHeight="1" x14ac:dyDescent="0.3">
      <c r="A74" s="2"/>
      <c r="B74" s="2"/>
      <c r="M74" s="2"/>
      <c r="N74" s="2"/>
      <c r="O74" s="2"/>
      <c r="P74" s="2"/>
      <c r="Q74" s="2"/>
      <c r="T74" s="2"/>
      <c r="U74" s="2"/>
      <c r="V74" s="2"/>
      <c r="W74" s="2"/>
      <c r="X74" s="2"/>
      <c r="Y74" s="2"/>
      <c r="Z74" s="2"/>
      <c r="AA74" s="2"/>
      <c r="AB74" s="2"/>
      <c r="AC74" s="32" t="s">
        <v>26</v>
      </c>
      <c r="AD74" s="191">
        <v>13.2</v>
      </c>
      <c r="AE74" s="33">
        <v>6.7</v>
      </c>
      <c r="AF74" s="34">
        <v>6.5</v>
      </c>
      <c r="AG74" s="204"/>
      <c r="AH74" s="33">
        <v>569</v>
      </c>
      <c r="AI74" s="33">
        <v>555</v>
      </c>
      <c r="AJ74" s="34">
        <v>3</v>
      </c>
      <c r="AK74" s="204"/>
      <c r="AL74" s="33">
        <v>5.4</v>
      </c>
      <c r="AM74" s="33">
        <v>671</v>
      </c>
      <c r="AN74" s="34">
        <v>4.9000000000000004</v>
      </c>
      <c r="AO74" s="2"/>
    </row>
    <row r="75" spans="1:41" ht="22.5" customHeight="1" x14ac:dyDescent="0.3">
      <c r="A75" s="2"/>
      <c r="B75" s="2"/>
      <c r="M75" s="2"/>
      <c r="N75" s="2"/>
      <c r="O75" s="2"/>
      <c r="P75" s="2"/>
      <c r="Q75" s="2"/>
      <c r="T75" s="2"/>
      <c r="U75" s="2"/>
      <c r="V75" s="2"/>
      <c r="W75" s="2"/>
      <c r="X75" s="2"/>
      <c r="Y75" s="2"/>
      <c r="Z75" s="2"/>
      <c r="AA75" s="2"/>
      <c r="AB75" s="2"/>
      <c r="AC75" s="32" t="s">
        <v>27</v>
      </c>
      <c r="AD75" s="191">
        <v>20.9</v>
      </c>
      <c r="AE75" s="33">
        <v>4.0999999999999996</v>
      </c>
      <c r="AF75" s="34">
        <v>16.8</v>
      </c>
      <c r="AG75" s="204"/>
      <c r="AH75" s="33">
        <v>179</v>
      </c>
      <c r="AI75" s="33">
        <v>730</v>
      </c>
      <c r="AJ75" s="34">
        <v>4.3</v>
      </c>
      <c r="AK75" s="204"/>
      <c r="AL75" s="33" t="s">
        <v>49</v>
      </c>
      <c r="AM75" s="33" t="s">
        <v>49</v>
      </c>
      <c r="AN75" s="34" t="s">
        <v>49</v>
      </c>
      <c r="AO75" s="2"/>
    </row>
    <row r="76" spans="1:41" ht="22.5" customHeight="1" x14ac:dyDescent="0.3">
      <c r="A76" s="2"/>
      <c r="B76" s="2"/>
      <c r="M76" s="2"/>
      <c r="N76" s="2"/>
      <c r="O76" s="2"/>
      <c r="P76" s="2"/>
      <c r="Q76" s="2"/>
      <c r="T76" s="2"/>
      <c r="U76" s="2"/>
      <c r="V76" s="2"/>
      <c r="W76" s="2"/>
      <c r="X76" s="2"/>
      <c r="Y76" s="2"/>
      <c r="Z76" s="2"/>
      <c r="AA76" s="2"/>
      <c r="AB76" s="2"/>
      <c r="AC76" s="210" t="s">
        <v>50</v>
      </c>
      <c r="AD76" s="192">
        <v>30</v>
      </c>
      <c r="AE76" s="35">
        <v>24.3</v>
      </c>
      <c r="AF76" s="37">
        <v>5.7</v>
      </c>
      <c r="AG76" s="205"/>
      <c r="AH76" s="36">
        <v>5430</v>
      </c>
      <c r="AI76" s="36">
        <v>1268</v>
      </c>
      <c r="AJ76" s="37">
        <v>2.8</v>
      </c>
      <c r="AK76" s="205"/>
      <c r="AL76" s="35">
        <v>4.4000000000000004</v>
      </c>
      <c r="AM76" s="36">
        <v>2264</v>
      </c>
      <c r="AN76" s="37">
        <v>4.9000000000000004</v>
      </c>
      <c r="AO76" s="2"/>
    </row>
    <row r="77" spans="1:41" ht="22.5" customHeight="1" x14ac:dyDescent="0.3">
      <c r="A77" s="2"/>
      <c r="B77" s="2"/>
      <c r="M77" s="2"/>
      <c r="N77" s="2"/>
      <c r="O77" s="2"/>
      <c r="P77" s="2"/>
      <c r="Q77" s="2"/>
      <c r="T77" s="2"/>
      <c r="U77" s="2"/>
      <c r="V77" s="2"/>
      <c r="W77" s="2"/>
      <c r="X77" s="2"/>
      <c r="Y77" s="2"/>
      <c r="Z77" s="2"/>
      <c r="AA77" s="2"/>
      <c r="AB77" s="2"/>
      <c r="AC77" s="32" t="s">
        <v>30</v>
      </c>
      <c r="AD77" s="191">
        <v>4.3</v>
      </c>
      <c r="AE77" s="33">
        <v>1.9</v>
      </c>
      <c r="AF77" s="34">
        <v>2.4</v>
      </c>
      <c r="AG77" s="204"/>
      <c r="AH77" s="33">
        <v>208</v>
      </c>
      <c r="AI77" s="33">
        <v>261</v>
      </c>
      <c r="AJ77" s="34">
        <v>4.2</v>
      </c>
      <c r="AK77" s="204"/>
      <c r="AL77" s="33">
        <v>2.4</v>
      </c>
      <c r="AM77" s="33">
        <v>448</v>
      </c>
      <c r="AN77" s="34">
        <v>4.5</v>
      </c>
      <c r="AO77" s="2"/>
    </row>
    <row r="78" spans="1:41" ht="22.5" customHeight="1" x14ac:dyDescent="0.3">
      <c r="A78" s="2"/>
      <c r="B78" s="2"/>
      <c r="M78" s="2"/>
      <c r="N78" s="2"/>
      <c r="O78" s="2"/>
      <c r="P78" s="2"/>
      <c r="Q78" s="2"/>
      <c r="T78" s="2"/>
      <c r="U78" s="2"/>
      <c r="V78" s="2"/>
      <c r="W78" s="2"/>
      <c r="X78" s="2"/>
      <c r="Y78" s="2"/>
      <c r="Z78" s="2"/>
      <c r="AA78" s="2"/>
      <c r="AB78" s="2"/>
      <c r="AC78" s="32" t="s">
        <v>31</v>
      </c>
      <c r="AD78" s="191">
        <v>7.6</v>
      </c>
      <c r="AE78" s="33">
        <v>5.4</v>
      </c>
      <c r="AF78" s="34">
        <v>2.2000000000000002</v>
      </c>
      <c r="AG78" s="204"/>
      <c r="AH78" s="38">
        <v>1540</v>
      </c>
      <c r="AI78" s="33">
        <v>608</v>
      </c>
      <c r="AJ78" s="34">
        <v>4.0999999999999996</v>
      </c>
      <c r="AK78" s="204"/>
      <c r="AL78" s="33">
        <v>2</v>
      </c>
      <c r="AM78" s="38">
        <v>1116</v>
      </c>
      <c r="AN78" s="34">
        <v>4.4000000000000004</v>
      </c>
      <c r="AO78" s="2"/>
    </row>
    <row r="79" spans="1:41" ht="22.5" customHeight="1" x14ac:dyDescent="0.3">
      <c r="A79" s="2"/>
      <c r="B79" s="2"/>
      <c r="M79" s="2"/>
      <c r="N79" s="2"/>
      <c r="O79" s="2"/>
      <c r="P79" s="2"/>
      <c r="Q79" s="2"/>
      <c r="T79" s="2"/>
      <c r="U79" s="2"/>
      <c r="V79" s="2"/>
      <c r="W79" s="2"/>
      <c r="X79" s="2"/>
      <c r="Y79" s="2"/>
      <c r="Z79" s="2"/>
      <c r="AA79" s="2"/>
      <c r="AB79" s="2"/>
      <c r="AC79" s="194" t="s">
        <v>51</v>
      </c>
      <c r="AD79" s="193">
        <v>6.6</v>
      </c>
      <c r="AE79" s="193">
        <v>2.2000000000000002</v>
      </c>
      <c r="AF79" s="195">
        <v>4.4000000000000004</v>
      </c>
      <c r="AG79" s="206"/>
      <c r="AH79" s="193">
        <v>52</v>
      </c>
      <c r="AI79" s="193">
        <v>109</v>
      </c>
      <c r="AJ79" s="195">
        <v>4.0999999999999996</v>
      </c>
      <c r="AK79" s="206"/>
      <c r="AL79" s="193" t="s">
        <v>49</v>
      </c>
      <c r="AM79" s="193" t="s">
        <v>49</v>
      </c>
      <c r="AN79" s="195" t="s">
        <v>49</v>
      </c>
      <c r="AO79" s="2"/>
    </row>
    <row r="80" spans="1:41" ht="22.5" customHeight="1" x14ac:dyDescent="0.3">
      <c r="A80" s="2"/>
      <c r="B80" s="2"/>
      <c r="M80" s="2"/>
      <c r="N80" s="2"/>
      <c r="O80" s="2"/>
      <c r="P80" s="2"/>
      <c r="Q80" s="2"/>
      <c r="T80" s="2"/>
      <c r="U80" s="2"/>
      <c r="V80" s="2"/>
      <c r="W80" s="2"/>
      <c r="X80" s="2"/>
      <c r="Y80" s="2"/>
      <c r="Z80" s="2"/>
      <c r="AA80" s="2"/>
      <c r="AB80" s="2"/>
      <c r="AC80" s="28" t="s">
        <v>32</v>
      </c>
      <c r="AD80" s="190">
        <v>2.7</v>
      </c>
      <c r="AE80" s="29">
        <v>2.7</v>
      </c>
      <c r="AF80" s="31" t="s">
        <v>52</v>
      </c>
      <c r="AG80" s="203"/>
      <c r="AH80" s="29">
        <v>29</v>
      </c>
      <c r="AI80" s="29" t="s">
        <v>52</v>
      </c>
      <c r="AJ80" s="31">
        <v>3.7</v>
      </c>
      <c r="AK80" s="203"/>
      <c r="AL80" s="29" t="s">
        <v>49</v>
      </c>
      <c r="AM80" s="29" t="s">
        <v>49</v>
      </c>
      <c r="AN80" s="31" t="s">
        <v>49</v>
      </c>
      <c r="AO80" s="2"/>
    </row>
    <row r="81" spans="1:41" ht="22.5" customHeight="1" x14ac:dyDescent="0.3">
      <c r="A81" s="2"/>
      <c r="B81" s="2"/>
      <c r="M81" s="2"/>
      <c r="N81" s="2"/>
      <c r="O81" s="2"/>
      <c r="P81" s="2"/>
      <c r="Q81" s="2"/>
      <c r="T81" s="2"/>
      <c r="U81" s="2"/>
      <c r="V81" s="2"/>
      <c r="W81" s="2"/>
      <c r="X81" s="2"/>
      <c r="Y81" s="2"/>
      <c r="Z81" s="2"/>
      <c r="AA81" s="2"/>
      <c r="AB81" s="2"/>
      <c r="AC81" s="32" t="s">
        <v>34</v>
      </c>
      <c r="AD81" s="191">
        <v>2.1</v>
      </c>
      <c r="AE81" s="33">
        <v>2.1</v>
      </c>
      <c r="AF81" s="34" t="s">
        <v>52</v>
      </c>
      <c r="AG81" s="204"/>
      <c r="AH81" s="33">
        <v>293</v>
      </c>
      <c r="AI81" s="33" t="s">
        <v>52</v>
      </c>
      <c r="AJ81" s="34">
        <v>4.5</v>
      </c>
      <c r="AK81" s="204"/>
      <c r="AL81" s="33" t="s">
        <v>49</v>
      </c>
      <c r="AM81" s="33" t="s">
        <v>49</v>
      </c>
      <c r="AN81" s="34" t="s">
        <v>49</v>
      </c>
      <c r="AO81" s="2"/>
    </row>
    <row r="82" spans="1:41" ht="26.25" customHeight="1" x14ac:dyDescent="0.3">
      <c r="A82" s="2"/>
      <c r="B82" s="2"/>
      <c r="M82" s="2"/>
      <c r="N82" s="2"/>
      <c r="O82" s="2"/>
      <c r="P82" s="2"/>
      <c r="Q82" s="2"/>
      <c r="T82" s="2"/>
      <c r="U82" s="2"/>
      <c r="V82" s="2"/>
      <c r="W82" s="2"/>
      <c r="X82" s="2"/>
      <c r="Y82" s="2"/>
      <c r="Z82" s="2"/>
      <c r="AA82" s="2"/>
      <c r="AB82" s="2"/>
      <c r="AC82" s="187" t="s">
        <v>19</v>
      </c>
      <c r="AD82" s="188">
        <v>159.1</v>
      </c>
      <c r="AE82" s="188">
        <v>65.900000000000006</v>
      </c>
      <c r="AF82" s="189"/>
      <c r="AG82" s="207"/>
      <c r="AH82" s="188">
        <v>289</v>
      </c>
      <c r="AI82" s="188"/>
      <c r="AJ82" s="189">
        <v>3.8</v>
      </c>
      <c r="AK82" s="207"/>
      <c r="AL82" s="188" t="s">
        <v>49</v>
      </c>
      <c r="AM82" s="188" t="s">
        <v>49</v>
      </c>
      <c r="AN82" s="189" t="s">
        <v>49</v>
      </c>
      <c r="AO82" s="2"/>
    </row>
  </sheetData>
  <mergeCells count="8">
    <mergeCell ref="AL70:AN70"/>
    <mergeCell ref="AD71:AF71"/>
    <mergeCell ref="AH71:AI71"/>
    <mergeCell ref="V45:W45"/>
    <mergeCell ref="Y45:Z45"/>
    <mergeCell ref="V46:W46"/>
    <mergeCell ref="Y46:Z46"/>
    <mergeCell ref="AD70:AJ70"/>
  </mergeCells>
  <pageMargins left="0.7" right="0.7" top="0.75" bottom="0.75" header="0.3" footer="0.3"/>
  <pageSetup paperSize="9" orientation="portrait" horizontalDpi="1200" verticalDpi="1200" r:id="rId1"/>
  <ignoredErrors>
    <ignoredError sqref="N34:Q34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 summaryRight="0"/>
  </sheetPr>
  <dimension ref="A1:P85"/>
  <sheetViews>
    <sheetView showGridLines="0" topLeftCell="A61" workbookViewId="0">
      <selection activeCell="J66" sqref="J66"/>
    </sheetView>
  </sheetViews>
  <sheetFormatPr baseColWidth="10" defaultColWidth="12.4609375" defaultRowHeight="15.75" customHeight="1" x14ac:dyDescent="0.3"/>
  <cols>
    <col min="1" max="5" width="10.4609375" customWidth="1"/>
    <col min="6" max="6" width="16.3828125" style="100" customWidth="1"/>
    <col min="7" max="7" width="4.4609375" style="100" customWidth="1"/>
    <col min="8" max="13" width="10.4609375" customWidth="1"/>
    <col min="14" max="15" width="10.4609375" style="100" customWidth="1"/>
    <col min="16" max="16" width="10.4609375" customWidth="1"/>
  </cols>
  <sheetData>
    <row r="1" spans="1:16" ht="14.25" customHeight="1" x14ac:dyDescent="0.35">
      <c r="A1" s="44"/>
      <c r="B1" s="3"/>
      <c r="C1" s="3"/>
      <c r="D1" s="3"/>
      <c r="E1" s="45"/>
      <c r="F1" s="45"/>
      <c r="G1" s="45"/>
      <c r="H1" s="45"/>
      <c r="I1" s="3"/>
      <c r="J1" s="3"/>
      <c r="K1" s="3"/>
      <c r="L1" s="3"/>
      <c r="M1" s="45"/>
      <c r="N1" s="45"/>
      <c r="O1" s="45"/>
      <c r="P1" s="45"/>
    </row>
    <row r="2" spans="1:16" s="213" customFormat="1" ht="14.25" customHeight="1" x14ac:dyDescent="0.35">
      <c r="A2" s="211"/>
      <c r="B2" s="160" t="s">
        <v>53</v>
      </c>
      <c r="C2" s="211"/>
      <c r="D2" s="211"/>
      <c r="E2" s="212"/>
      <c r="F2" s="212"/>
      <c r="G2" s="212"/>
      <c r="H2" s="212"/>
      <c r="I2" s="211"/>
      <c r="J2" s="160" t="s">
        <v>54</v>
      </c>
      <c r="K2" s="211"/>
      <c r="L2" s="211"/>
      <c r="M2" s="212"/>
      <c r="N2" s="212"/>
      <c r="O2" s="212"/>
      <c r="P2" s="212"/>
    </row>
    <row r="3" spans="1:16" ht="14.25" customHeight="1" x14ac:dyDescent="0.35">
      <c r="A3" s="44"/>
      <c r="B3" s="3"/>
      <c r="C3" s="3"/>
      <c r="D3" s="3"/>
      <c r="E3" s="45"/>
      <c r="F3" s="45"/>
      <c r="G3" s="45"/>
      <c r="H3" s="45"/>
      <c r="I3" s="3"/>
      <c r="J3" s="3"/>
      <c r="K3" s="3"/>
      <c r="L3" s="3"/>
      <c r="M3" s="45"/>
      <c r="N3" s="45"/>
      <c r="O3" s="45"/>
      <c r="P3" s="45"/>
    </row>
    <row r="4" spans="1:16" ht="14.25" customHeight="1" x14ac:dyDescent="0.35">
      <c r="A4" s="44"/>
      <c r="B4" s="3"/>
      <c r="C4" s="3"/>
      <c r="D4" s="3"/>
      <c r="E4" s="45"/>
      <c r="F4" s="45"/>
      <c r="G4" s="45"/>
      <c r="H4" s="45"/>
      <c r="I4" s="3"/>
      <c r="J4" s="3"/>
      <c r="K4" s="3"/>
      <c r="L4" s="3"/>
      <c r="M4" s="45"/>
      <c r="N4" s="45"/>
      <c r="O4" s="45"/>
      <c r="P4" s="45"/>
    </row>
    <row r="5" spans="1:16" ht="14.25" customHeight="1" x14ac:dyDescent="0.35">
      <c r="A5" s="44"/>
      <c r="B5" s="3"/>
      <c r="C5" s="3"/>
      <c r="D5" s="3"/>
      <c r="E5" s="45"/>
      <c r="F5" s="1" t="s">
        <v>55</v>
      </c>
      <c r="G5" s="7">
        <v>0.5</v>
      </c>
      <c r="H5" s="45"/>
      <c r="I5" s="3"/>
      <c r="J5" s="3"/>
      <c r="K5" s="3"/>
      <c r="L5" s="3"/>
      <c r="M5" s="45"/>
      <c r="N5" s="1" t="s">
        <v>55</v>
      </c>
      <c r="O5" s="7">
        <v>0.5</v>
      </c>
      <c r="P5" s="45"/>
    </row>
    <row r="6" spans="1:16" ht="14.25" customHeight="1" x14ac:dyDescent="0.35">
      <c r="A6" s="44"/>
      <c r="B6" s="3"/>
      <c r="C6" s="3"/>
      <c r="D6" s="3"/>
      <c r="E6" s="45"/>
      <c r="F6" s="1" t="s">
        <v>56</v>
      </c>
      <c r="G6" s="7">
        <v>0.5</v>
      </c>
      <c r="H6" s="45"/>
      <c r="I6" s="3"/>
      <c r="J6" s="3"/>
      <c r="K6" s="3"/>
      <c r="L6" s="3"/>
      <c r="M6" s="45"/>
      <c r="N6" s="1" t="s">
        <v>56</v>
      </c>
      <c r="O6" s="7">
        <v>0.3</v>
      </c>
      <c r="P6" s="45"/>
    </row>
    <row r="7" spans="1:16" ht="14.25" customHeight="1" x14ac:dyDescent="0.35">
      <c r="A7" s="44"/>
      <c r="B7" s="3"/>
      <c r="C7" s="3"/>
      <c r="D7" s="3"/>
      <c r="E7" s="45"/>
      <c r="F7" s="45"/>
      <c r="G7" s="45"/>
      <c r="H7" s="45"/>
      <c r="I7" s="3"/>
      <c r="J7" s="3"/>
      <c r="K7" s="3"/>
      <c r="L7" s="3"/>
      <c r="M7" s="45"/>
      <c r="N7" s="1" t="s">
        <v>57</v>
      </c>
      <c r="O7" s="7">
        <v>0.2</v>
      </c>
      <c r="P7" s="45"/>
    </row>
    <row r="8" spans="1:16" ht="14.25" customHeight="1" x14ac:dyDescent="0.35">
      <c r="A8" s="44"/>
      <c r="B8" s="3"/>
      <c r="C8" s="3"/>
      <c r="D8" s="3"/>
      <c r="E8" s="45"/>
      <c r="F8" s="45"/>
      <c r="G8" s="45"/>
      <c r="H8" s="45"/>
      <c r="I8" s="3"/>
      <c r="J8" s="3"/>
      <c r="K8" s="3"/>
      <c r="L8" s="3"/>
      <c r="M8" s="45"/>
      <c r="N8" s="45"/>
      <c r="O8" s="45"/>
      <c r="P8" s="45"/>
    </row>
    <row r="9" spans="1:16" ht="14.25" customHeight="1" x14ac:dyDescent="0.35">
      <c r="A9" s="44"/>
      <c r="B9" s="3"/>
      <c r="C9" s="3"/>
      <c r="D9" s="3"/>
      <c r="E9" s="45"/>
      <c r="F9" s="45"/>
      <c r="G9" s="45"/>
      <c r="H9" s="45"/>
      <c r="I9" s="3"/>
      <c r="J9" s="3"/>
      <c r="K9" s="3"/>
      <c r="L9" s="3"/>
      <c r="M9" s="45"/>
      <c r="N9" s="45"/>
      <c r="O9" s="45"/>
      <c r="P9" s="45"/>
    </row>
    <row r="10" spans="1:16" ht="14.25" customHeight="1" x14ac:dyDescent="0.35">
      <c r="A10" s="44"/>
      <c r="B10" s="3"/>
      <c r="C10" s="3"/>
      <c r="D10" s="3"/>
      <c r="E10" s="45"/>
      <c r="F10" s="45"/>
      <c r="G10" s="45"/>
      <c r="H10" s="45"/>
      <c r="I10" s="3"/>
      <c r="J10" s="3"/>
      <c r="K10" s="3"/>
      <c r="L10" s="3"/>
      <c r="M10" s="45"/>
      <c r="N10" s="45"/>
      <c r="O10" s="45"/>
      <c r="P10" s="45"/>
    </row>
    <row r="11" spans="1:16" ht="14.25" customHeight="1" x14ac:dyDescent="0.35">
      <c r="A11" s="44"/>
      <c r="B11" s="3"/>
      <c r="C11" s="3"/>
      <c r="D11" s="3"/>
      <c r="E11" s="45"/>
      <c r="F11" s="45"/>
      <c r="G11" s="45"/>
      <c r="H11" s="45"/>
      <c r="I11" s="3"/>
      <c r="J11" s="3"/>
      <c r="K11" s="3"/>
      <c r="L11" s="3"/>
      <c r="M11" s="45"/>
      <c r="N11" s="45"/>
      <c r="O11" s="45"/>
      <c r="P11" s="45"/>
    </row>
    <row r="12" spans="1:16" ht="14.25" customHeight="1" x14ac:dyDescent="0.35">
      <c r="A12" s="44"/>
      <c r="B12" s="3"/>
      <c r="C12" s="3"/>
      <c r="D12" s="3"/>
      <c r="E12" s="45"/>
      <c r="F12" s="45"/>
      <c r="G12" s="45"/>
      <c r="H12" s="45"/>
      <c r="I12" s="3"/>
      <c r="J12" s="3"/>
      <c r="K12" s="3"/>
      <c r="L12" s="3"/>
      <c r="M12" s="45"/>
      <c r="N12" s="45"/>
      <c r="O12" s="45"/>
      <c r="P12" s="45"/>
    </row>
    <row r="13" spans="1:16" ht="14.25" customHeight="1" x14ac:dyDescent="0.35">
      <c r="A13" s="44"/>
      <c r="B13" s="3"/>
      <c r="C13" s="3"/>
      <c r="D13" s="3"/>
      <c r="E13" s="45"/>
      <c r="F13" s="45"/>
      <c r="G13" s="45"/>
      <c r="H13" s="45"/>
      <c r="I13" s="3"/>
      <c r="J13" s="3"/>
      <c r="K13" s="3"/>
      <c r="L13" s="3"/>
      <c r="M13" s="45"/>
      <c r="N13" s="45"/>
      <c r="O13" s="45"/>
      <c r="P13" s="45"/>
    </row>
    <row r="14" spans="1:16" ht="14.25" customHeight="1" x14ac:dyDescent="0.35">
      <c r="A14" s="44"/>
      <c r="B14" s="3"/>
      <c r="C14" s="3"/>
      <c r="D14" s="3"/>
      <c r="E14" s="45"/>
      <c r="F14" s="45"/>
      <c r="G14" s="45"/>
      <c r="H14" s="45"/>
      <c r="I14" s="3"/>
      <c r="J14" s="3"/>
      <c r="K14" s="3"/>
      <c r="L14" s="3"/>
      <c r="M14" s="45"/>
      <c r="N14" s="45"/>
      <c r="O14" s="45"/>
      <c r="P14" s="45"/>
    </row>
    <row r="15" spans="1:16" ht="14.25" customHeight="1" x14ac:dyDescent="0.35">
      <c r="A15" s="44"/>
      <c r="B15" s="3"/>
      <c r="C15" s="3"/>
      <c r="D15" s="3"/>
      <c r="E15" s="45"/>
      <c r="F15" s="45"/>
      <c r="G15" s="45"/>
      <c r="H15" s="45"/>
      <c r="I15" s="3"/>
      <c r="J15" s="3"/>
      <c r="K15" s="3"/>
      <c r="L15" s="3"/>
      <c r="M15" s="45"/>
      <c r="N15" s="45"/>
      <c r="O15" s="45"/>
      <c r="P15" s="45"/>
    </row>
    <row r="16" spans="1:16" ht="14.25" customHeight="1" x14ac:dyDescent="0.35">
      <c r="A16" s="44"/>
      <c r="B16" s="3"/>
      <c r="C16" s="3"/>
      <c r="D16" s="3"/>
      <c r="E16" s="45"/>
      <c r="F16" s="45"/>
      <c r="G16" s="45"/>
      <c r="H16" s="45"/>
      <c r="I16" s="3"/>
      <c r="J16" s="3"/>
      <c r="K16" s="3"/>
      <c r="L16" s="3"/>
      <c r="M16" s="45"/>
      <c r="N16" s="45"/>
      <c r="O16" s="45"/>
      <c r="P16" s="45"/>
    </row>
    <row r="17" spans="1:16" ht="14.25" customHeight="1" x14ac:dyDescent="0.35">
      <c r="A17" s="44"/>
      <c r="B17" s="3"/>
      <c r="C17" s="3"/>
      <c r="D17" s="3"/>
      <c r="E17" s="45"/>
      <c r="F17" s="45"/>
      <c r="G17" s="45"/>
      <c r="H17" s="45"/>
      <c r="I17" s="3"/>
      <c r="J17" s="3"/>
      <c r="K17" s="3"/>
      <c r="L17" s="3"/>
      <c r="M17" s="45"/>
      <c r="N17" s="45"/>
      <c r="O17" s="45"/>
      <c r="P17" s="45"/>
    </row>
    <row r="18" spans="1:16" ht="14.25" customHeight="1" x14ac:dyDescent="0.35">
      <c r="A18" s="44"/>
      <c r="B18" s="3"/>
      <c r="C18" s="3"/>
      <c r="D18" s="3"/>
      <c r="E18" s="45"/>
      <c r="F18" s="45"/>
      <c r="G18" s="45"/>
      <c r="H18" s="45"/>
      <c r="I18" s="3"/>
      <c r="J18" s="3"/>
      <c r="K18" s="3"/>
      <c r="L18" s="3"/>
      <c r="M18" s="45"/>
      <c r="N18" s="45"/>
      <c r="O18" s="45"/>
      <c r="P18" s="45"/>
    </row>
    <row r="19" spans="1:16" ht="14.25" customHeight="1" x14ac:dyDescent="0.35">
      <c r="A19" s="44"/>
      <c r="B19" s="3"/>
      <c r="C19" s="3"/>
      <c r="D19" s="3"/>
      <c r="E19" s="45"/>
      <c r="F19" s="45"/>
      <c r="G19" s="45"/>
      <c r="H19" s="45"/>
      <c r="I19" s="3"/>
      <c r="J19" s="3"/>
      <c r="K19" s="3"/>
      <c r="L19" s="3"/>
      <c r="M19" s="45"/>
      <c r="N19" s="45"/>
      <c r="O19" s="45"/>
      <c r="P19" s="45"/>
    </row>
    <row r="20" spans="1:16" ht="14.25" customHeight="1" x14ac:dyDescent="0.35">
      <c r="A20" s="44"/>
      <c r="B20" s="3"/>
      <c r="C20" s="3"/>
      <c r="D20" s="3"/>
      <c r="E20" s="45"/>
      <c r="F20" s="45"/>
      <c r="G20" s="45"/>
      <c r="H20" s="45"/>
      <c r="I20" s="3"/>
      <c r="J20" s="3"/>
      <c r="K20" s="3"/>
      <c r="L20" s="3"/>
      <c r="M20" s="45"/>
      <c r="N20" s="45"/>
      <c r="O20" s="45"/>
      <c r="P20" s="45"/>
    </row>
    <row r="21" spans="1:16" ht="14.25" customHeight="1" x14ac:dyDescent="0.35">
      <c r="A21" s="44"/>
      <c r="B21" s="3"/>
      <c r="C21" s="3"/>
      <c r="D21" s="3"/>
      <c r="E21" s="45"/>
      <c r="F21" s="45"/>
      <c r="G21" s="45"/>
      <c r="H21" s="45"/>
      <c r="I21" s="3"/>
      <c r="J21" s="3"/>
      <c r="K21" s="3"/>
      <c r="L21" s="3"/>
      <c r="M21" s="45"/>
      <c r="N21" s="45"/>
      <c r="O21" s="45"/>
      <c r="P21" s="45"/>
    </row>
    <row r="22" spans="1:16" s="213" customFormat="1" ht="14.25" customHeight="1" x14ac:dyDescent="0.35">
      <c r="A22" s="211"/>
      <c r="B22" s="160" t="s">
        <v>58</v>
      </c>
      <c r="C22" s="211"/>
      <c r="D22" s="211"/>
      <c r="E22" s="212"/>
      <c r="F22" s="212"/>
      <c r="G22" s="212"/>
      <c r="H22" s="212"/>
      <c r="I22" s="211"/>
      <c r="J22" s="160" t="s">
        <v>59</v>
      </c>
      <c r="L22" s="211"/>
      <c r="M22" s="212"/>
      <c r="N22" s="212"/>
      <c r="O22" s="212"/>
      <c r="P22" s="212"/>
    </row>
    <row r="23" spans="1:16" ht="14.25" customHeight="1" x14ac:dyDescent="0.35">
      <c r="A23" s="44"/>
      <c r="B23" s="3"/>
      <c r="C23" s="3"/>
      <c r="D23" s="3"/>
      <c r="E23" s="45"/>
      <c r="F23" s="45"/>
      <c r="G23" s="45"/>
      <c r="H23" s="45"/>
      <c r="I23" s="3"/>
      <c r="J23" s="3"/>
      <c r="K23" s="3"/>
      <c r="L23" s="3"/>
      <c r="M23" s="45"/>
      <c r="N23" s="45"/>
      <c r="O23" s="45"/>
      <c r="P23" s="45"/>
    </row>
    <row r="24" spans="1:16" ht="14.25" customHeight="1" x14ac:dyDescent="0.45">
      <c r="A24" s="3"/>
      <c r="B24" s="48"/>
      <c r="C24" s="3"/>
      <c r="D24" s="3"/>
      <c r="E24" s="45"/>
      <c r="F24" s="45"/>
      <c r="G24" s="45"/>
      <c r="H24" s="45"/>
      <c r="I24" s="3"/>
      <c r="J24" s="3"/>
      <c r="K24" s="3"/>
      <c r="L24" s="3"/>
      <c r="M24" s="45"/>
      <c r="N24" s="45"/>
      <c r="O24" s="45"/>
      <c r="P24" s="45"/>
    </row>
    <row r="25" spans="1:16" ht="14.25" customHeight="1" x14ac:dyDescent="0.45">
      <c r="A25" s="3"/>
      <c r="B25" s="3"/>
      <c r="C25" s="3"/>
      <c r="D25" s="3"/>
      <c r="E25" s="45"/>
      <c r="F25" s="48"/>
      <c r="G25" s="45"/>
      <c r="H25" s="45"/>
      <c r="I25" s="3"/>
      <c r="J25" s="3"/>
      <c r="K25" s="3"/>
      <c r="L25" s="3"/>
      <c r="M25" s="45"/>
      <c r="N25" s="48"/>
      <c r="O25" s="45"/>
      <c r="P25" s="45"/>
    </row>
    <row r="26" spans="1:16" ht="14.25" customHeight="1" x14ac:dyDescent="0.35">
      <c r="A26" s="3"/>
      <c r="B26" s="3"/>
      <c r="C26" s="3"/>
      <c r="D26" s="3"/>
      <c r="E26" s="45"/>
      <c r="F26" s="45"/>
      <c r="G26" s="45"/>
      <c r="H26" s="45"/>
      <c r="I26" s="3"/>
      <c r="J26" s="3"/>
      <c r="K26" s="3"/>
      <c r="L26" s="3"/>
      <c r="M26" s="45"/>
      <c r="N26" s="45"/>
      <c r="O26" s="45"/>
      <c r="P26" s="45"/>
    </row>
    <row r="27" spans="1:16" ht="14.25" customHeight="1" x14ac:dyDescent="0.35">
      <c r="A27" s="3"/>
      <c r="B27" s="3"/>
      <c r="C27" s="3"/>
      <c r="D27" s="3"/>
      <c r="E27" s="45"/>
      <c r="F27" s="1" t="s">
        <v>55</v>
      </c>
      <c r="G27" s="7">
        <v>0.33</v>
      </c>
      <c r="H27" s="45"/>
      <c r="I27" s="3"/>
      <c r="J27" s="3"/>
      <c r="K27" s="3"/>
      <c r="L27" s="3"/>
      <c r="M27" s="45"/>
      <c r="N27" s="1" t="s">
        <v>55</v>
      </c>
      <c r="O27" s="7">
        <v>0.45</v>
      </c>
      <c r="P27" s="45"/>
    </row>
    <row r="28" spans="1:16" ht="14.25" customHeight="1" x14ac:dyDescent="0.35">
      <c r="A28" s="3"/>
      <c r="B28" s="3"/>
      <c r="C28" s="3"/>
      <c r="D28" s="3"/>
      <c r="E28" s="45"/>
      <c r="F28" s="1" t="s">
        <v>56</v>
      </c>
      <c r="G28" s="7">
        <v>0.3</v>
      </c>
      <c r="H28" s="45"/>
      <c r="I28" s="3"/>
      <c r="J28" s="3"/>
      <c r="K28" s="3"/>
      <c r="L28" s="3"/>
      <c r="M28" s="45"/>
      <c r="N28" s="1" t="s">
        <v>56</v>
      </c>
      <c r="O28" s="7">
        <v>0.32</v>
      </c>
      <c r="P28" s="45"/>
    </row>
    <row r="29" spans="1:16" ht="14.25" customHeight="1" x14ac:dyDescent="0.35">
      <c r="A29" s="3"/>
      <c r="B29" s="3"/>
      <c r="C29" s="3"/>
      <c r="D29" s="3"/>
      <c r="E29" s="45"/>
      <c r="F29" s="1" t="s">
        <v>57</v>
      </c>
      <c r="G29" s="7">
        <v>0.2</v>
      </c>
      <c r="H29" s="45"/>
      <c r="I29" s="3"/>
      <c r="J29" s="3"/>
      <c r="K29" s="3"/>
      <c r="L29" s="3"/>
      <c r="M29" s="45"/>
      <c r="N29" s="1" t="s">
        <v>57</v>
      </c>
      <c r="O29" s="7">
        <v>0.1</v>
      </c>
      <c r="P29" s="45"/>
    </row>
    <row r="30" spans="1:16" ht="14.25" customHeight="1" x14ac:dyDescent="0.35">
      <c r="A30" s="3"/>
      <c r="B30" s="3"/>
      <c r="C30" s="3"/>
      <c r="D30" s="3"/>
      <c r="E30" s="45"/>
      <c r="F30" s="1" t="s">
        <v>60</v>
      </c>
      <c r="G30" s="7">
        <v>0.17</v>
      </c>
      <c r="H30" s="45"/>
      <c r="I30" s="3"/>
      <c r="J30" s="3"/>
      <c r="K30" s="3"/>
      <c r="L30" s="3"/>
      <c r="M30" s="45"/>
      <c r="N30" s="1" t="s">
        <v>60</v>
      </c>
      <c r="O30" s="7">
        <v>0.09</v>
      </c>
      <c r="P30" s="45"/>
    </row>
    <row r="31" spans="1:16" ht="14.25" customHeight="1" x14ac:dyDescent="0.35">
      <c r="A31" s="3"/>
      <c r="B31" s="3"/>
      <c r="C31" s="3"/>
      <c r="D31" s="3"/>
      <c r="E31" s="45"/>
      <c r="F31" s="1"/>
      <c r="G31" s="7"/>
      <c r="H31" s="45"/>
      <c r="I31" s="3"/>
      <c r="J31" s="3"/>
      <c r="K31" s="3"/>
      <c r="L31" s="3"/>
      <c r="M31" s="45"/>
      <c r="N31" s="1" t="s">
        <v>61</v>
      </c>
      <c r="O31" s="7">
        <v>0.04</v>
      </c>
      <c r="P31" s="45"/>
    </row>
    <row r="32" spans="1:16" ht="14.25" customHeight="1" x14ac:dyDescent="0.35">
      <c r="A32" s="3"/>
      <c r="B32" s="3"/>
      <c r="C32" s="3"/>
      <c r="D32" s="3"/>
      <c r="E32" s="45"/>
      <c r="F32" s="45"/>
      <c r="G32" s="45"/>
      <c r="H32" s="45"/>
      <c r="I32" s="3"/>
      <c r="J32" s="3"/>
      <c r="K32" s="3"/>
      <c r="L32" s="3"/>
      <c r="M32" s="45"/>
      <c r="N32" s="1"/>
      <c r="O32" s="7"/>
      <c r="P32" s="45"/>
    </row>
    <row r="33" spans="1:16" ht="14.25" customHeight="1" x14ac:dyDescent="0.35">
      <c r="A33" s="3"/>
      <c r="B33" s="3"/>
      <c r="C33" s="3"/>
      <c r="D33" s="3"/>
      <c r="E33" s="45"/>
      <c r="F33" s="45"/>
      <c r="G33" s="45"/>
      <c r="H33" s="45"/>
      <c r="I33" s="3"/>
      <c r="J33" s="3"/>
      <c r="K33" s="3"/>
      <c r="L33" s="3"/>
      <c r="M33" s="45"/>
      <c r="N33" s="45"/>
      <c r="O33" s="45"/>
      <c r="P33" s="45"/>
    </row>
    <row r="34" spans="1:16" ht="14.25" customHeight="1" x14ac:dyDescent="0.35">
      <c r="A34" s="3"/>
      <c r="B34" s="3"/>
      <c r="C34" s="3"/>
      <c r="D34" s="3"/>
      <c r="E34" s="45"/>
      <c r="F34" s="45"/>
      <c r="G34" s="45"/>
      <c r="H34" s="45"/>
      <c r="I34" s="3"/>
      <c r="J34" s="3"/>
      <c r="K34" s="3"/>
      <c r="L34" s="3"/>
      <c r="M34" s="45"/>
      <c r="N34" s="45"/>
      <c r="O34" s="45"/>
      <c r="P34" s="45"/>
    </row>
    <row r="35" spans="1:16" ht="14.25" customHeight="1" x14ac:dyDescent="0.35">
      <c r="A35" s="3"/>
      <c r="B35" s="3"/>
      <c r="C35" s="3"/>
      <c r="D35" s="3"/>
      <c r="E35" s="45"/>
      <c r="F35" s="45"/>
      <c r="G35" s="45"/>
      <c r="H35" s="45"/>
      <c r="I35" s="3"/>
      <c r="J35" s="3"/>
      <c r="K35" s="3"/>
      <c r="L35" s="3"/>
      <c r="M35" s="45"/>
      <c r="N35" s="45"/>
      <c r="O35" s="45"/>
      <c r="P35" s="45"/>
    </row>
    <row r="36" spans="1:16" ht="14.25" customHeight="1" x14ac:dyDescent="0.35">
      <c r="A36" s="3"/>
      <c r="B36" s="3"/>
      <c r="C36" s="3"/>
      <c r="D36" s="3"/>
      <c r="E36" s="45"/>
      <c r="F36" s="45"/>
      <c r="G36" s="45"/>
      <c r="H36" s="45"/>
      <c r="I36" s="3"/>
      <c r="J36" s="3"/>
      <c r="K36" s="3"/>
      <c r="L36" s="3"/>
      <c r="M36" s="45"/>
      <c r="N36" s="45"/>
      <c r="O36" s="45"/>
      <c r="P36" s="45"/>
    </row>
    <row r="37" spans="1:16" ht="14.25" customHeight="1" x14ac:dyDescent="0.35">
      <c r="A37" s="3"/>
      <c r="B37" s="3"/>
      <c r="C37" s="3"/>
      <c r="D37" s="3"/>
      <c r="E37" s="45"/>
      <c r="F37" s="45"/>
      <c r="G37" s="45"/>
      <c r="H37" s="45"/>
      <c r="I37" s="3"/>
      <c r="J37" s="3"/>
      <c r="K37" s="3"/>
      <c r="L37" s="3"/>
      <c r="M37" s="45"/>
      <c r="N37" s="45"/>
      <c r="O37" s="45"/>
      <c r="P37" s="45"/>
    </row>
    <row r="38" spans="1:16" ht="14.25" customHeight="1" x14ac:dyDescent="0.35">
      <c r="A38" s="3"/>
      <c r="B38" s="3"/>
      <c r="C38" s="3"/>
      <c r="D38" s="3"/>
      <c r="E38" s="45"/>
      <c r="F38" s="45"/>
      <c r="G38" s="45"/>
      <c r="H38" s="45"/>
      <c r="I38" s="3"/>
      <c r="J38" s="3"/>
      <c r="K38" s="3"/>
      <c r="L38" s="3"/>
      <c r="M38" s="45"/>
      <c r="N38" s="45"/>
      <c r="O38" s="45"/>
      <c r="P38" s="45"/>
    </row>
    <row r="39" spans="1:16" ht="14.25" customHeight="1" x14ac:dyDescent="0.35">
      <c r="A39" s="3"/>
      <c r="B39" s="3"/>
      <c r="C39" s="3"/>
      <c r="D39" s="3"/>
      <c r="E39" s="45"/>
      <c r="F39" s="45"/>
      <c r="G39" s="45"/>
      <c r="H39" s="45"/>
      <c r="I39" s="3"/>
      <c r="J39" s="3"/>
      <c r="K39" s="3"/>
      <c r="L39" s="3"/>
      <c r="M39" s="45"/>
      <c r="N39" s="45"/>
      <c r="O39" s="45"/>
      <c r="P39" s="45"/>
    </row>
    <row r="40" spans="1:16" ht="14.25" customHeight="1" x14ac:dyDescent="0.35">
      <c r="A40" s="3"/>
      <c r="B40" s="3"/>
      <c r="C40" s="3"/>
      <c r="D40" s="3"/>
      <c r="E40" s="45"/>
      <c r="F40" s="45"/>
      <c r="G40" s="45"/>
      <c r="H40" s="45"/>
      <c r="I40" s="3"/>
      <c r="J40" s="3"/>
      <c r="K40" s="3"/>
      <c r="L40" s="3"/>
      <c r="M40" s="45"/>
      <c r="N40" s="45"/>
      <c r="O40" s="45"/>
      <c r="P40" s="45"/>
    </row>
    <row r="41" spans="1:16" ht="14.25" customHeight="1" x14ac:dyDescent="0.35">
      <c r="A41" s="3"/>
      <c r="B41" s="3"/>
      <c r="C41" s="3"/>
      <c r="D41" s="3"/>
      <c r="E41" s="45"/>
      <c r="F41" s="45"/>
      <c r="G41" s="45"/>
      <c r="H41" s="45"/>
      <c r="I41" s="3"/>
      <c r="J41" s="3"/>
      <c r="K41" s="3"/>
      <c r="L41" s="3"/>
      <c r="M41" s="45"/>
      <c r="N41" s="45"/>
      <c r="O41" s="45"/>
      <c r="P41" s="45"/>
    </row>
    <row r="42" spans="1:16" ht="14.25" customHeight="1" x14ac:dyDescent="0.35">
      <c r="A42" s="3"/>
      <c r="B42" s="3"/>
      <c r="C42" s="3"/>
      <c r="D42" s="3"/>
      <c r="E42" s="45"/>
      <c r="F42" s="45"/>
      <c r="G42" s="45"/>
      <c r="H42" s="45"/>
      <c r="I42" s="3"/>
      <c r="J42" s="3"/>
      <c r="K42" s="3"/>
      <c r="L42" s="3"/>
      <c r="M42" s="45"/>
      <c r="N42" s="45"/>
      <c r="O42" s="45"/>
      <c r="P42" s="45"/>
    </row>
    <row r="43" spans="1:16" ht="14.25" customHeight="1" x14ac:dyDescent="0.35">
      <c r="A43" s="3"/>
      <c r="B43" s="3"/>
      <c r="C43" s="3"/>
      <c r="D43" s="3"/>
      <c r="E43" s="45"/>
      <c r="F43" s="45"/>
      <c r="G43" s="45"/>
      <c r="H43" s="45"/>
      <c r="I43" s="3"/>
      <c r="J43" s="3"/>
      <c r="K43" s="3"/>
      <c r="L43" s="3"/>
      <c r="M43" s="45"/>
      <c r="N43" s="45"/>
      <c r="O43" s="45"/>
      <c r="P43" s="45"/>
    </row>
    <row r="44" spans="1:16" ht="14.25" customHeight="1" x14ac:dyDescent="0.35">
      <c r="A44" s="3"/>
      <c r="B44" s="3"/>
      <c r="C44" s="3"/>
      <c r="D44" s="3"/>
      <c r="E44" s="45"/>
      <c r="F44" s="45"/>
      <c r="G44" s="45"/>
      <c r="H44" s="45"/>
      <c r="I44" s="3"/>
      <c r="J44" s="3"/>
      <c r="K44" s="3"/>
      <c r="L44" s="3"/>
      <c r="M44" s="45"/>
      <c r="N44" s="45"/>
      <c r="O44" s="45"/>
      <c r="P44" s="45"/>
    </row>
    <row r="45" spans="1:16" s="213" customFormat="1" ht="14.25" customHeight="1" x14ac:dyDescent="0.35">
      <c r="A45" s="211"/>
      <c r="B45" s="160" t="s">
        <v>62</v>
      </c>
      <c r="C45" s="211"/>
      <c r="D45" s="211"/>
      <c r="E45" s="212"/>
      <c r="F45" s="212"/>
      <c r="G45" s="212"/>
      <c r="H45" s="212"/>
      <c r="I45" s="211"/>
      <c r="J45" s="160" t="s">
        <v>63</v>
      </c>
      <c r="L45" s="211"/>
      <c r="M45" s="212"/>
      <c r="N45" s="212"/>
      <c r="O45" s="212"/>
      <c r="P45" s="212"/>
    </row>
    <row r="46" spans="1:16" ht="14.25" customHeight="1" x14ac:dyDescent="0.35">
      <c r="A46" s="3"/>
      <c r="B46" s="3"/>
      <c r="C46" s="3"/>
      <c r="D46" s="3"/>
      <c r="E46" s="45"/>
      <c r="F46" s="45"/>
      <c r="G46" s="45"/>
      <c r="H46" s="45"/>
      <c r="I46" s="49"/>
      <c r="J46" s="3"/>
      <c r="K46" s="3"/>
      <c r="L46" s="3"/>
      <c r="M46" s="45"/>
      <c r="N46" s="45"/>
      <c r="O46" s="45"/>
      <c r="P46" s="45"/>
    </row>
    <row r="47" spans="1:16" ht="14.25" customHeight="1" x14ac:dyDescent="0.45">
      <c r="A47" s="3"/>
      <c r="B47" s="48"/>
      <c r="C47" s="3"/>
      <c r="D47" s="3"/>
      <c r="E47" s="45"/>
      <c r="F47" s="45"/>
      <c r="G47" s="45"/>
      <c r="H47" s="45"/>
      <c r="I47" s="3"/>
      <c r="J47" s="3"/>
      <c r="K47" s="3"/>
      <c r="L47" s="3"/>
      <c r="M47" s="45"/>
      <c r="N47" s="45"/>
      <c r="O47" s="45"/>
      <c r="P47" s="45"/>
    </row>
    <row r="48" spans="1:16" ht="14.25" customHeight="1" x14ac:dyDescent="0.45">
      <c r="A48" s="3"/>
      <c r="B48" s="3"/>
      <c r="C48" s="3"/>
      <c r="D48" s="3"/>
      <c r="E48" s="45"/>
      <c r="F48" s="48"/>
      <c r="G48" s="45"/>
      <c r="H48" s="45"/>
      <c r="I48" s="3"/>
      <c r="J48" s="3"/>
      <c r="K48" s="3"/>
      <c r="L48" s="3"/>
      <c r="M48" s="45"/>
      <c r="N48" s="48"/>
      <c r="O48" s="45"/>
      <c r="P48" s="45"/>
    </row>
    <row r="49" spans="1:16" ht="14.25" customHeight="1" x14ac:dyDescent="0.35">
      <c r="A49" s="3"/>
      <c r="B49" s="3"/>
      <c r="C49" s="3"/>
      <c r="D49" s="3"/>
      <c r="E49" s="45"/>
      <c r="F49" s="45"/>
      <c r="G49" s="45"/>
      <c r="H49" s="45"/>
      <c r="I49" s="3"/>
      <c r="J49" s="3"/>
      <c r="K49" s="3"/>
      <c r="L49" s="3"/>
      <c r="M49" s="45"/>
      <c r="N49" s="45"/>
      <c r="O49" s="45"/>
      <c r="P49" s="45"/>
    </row>
    <row r="50" spans="1:16" ht="14.25" customHeight="1" x14ac:dyDescent="0.35">
      <c r="A50" s="3"/>
      <c r="B50" s="3"/>
      <c r="C50" s="3"/>
      <c r="D50" s="3"/>
      <c r="E50" s="45"/>
      <c r="F50" s="1" t="s">
        <v>55</v>
      </c>
      <c r="G50" s="7">
        <v>0.45</v>
      </c>
      <c r="H50" s="45"/>
      <c r="I50" s="3"/>
      <c r="J50" s="3"/>
      <c r="K50" s="3"/>
      <c r="L50" s="3"/>
      <c r="M50" s="45"/>
      <c r="N50" s="1" t="s">
        <v>55</v>
      </c>
      <c r="O50" s="7">
        <v>0.26</v>
      </c>
      <c r="P50" s="45"/>
    </row>
    <row r="51" spans="1:16" ht="14.25" customHeight="1" x14ac:dyDescent="0.35">
      <c r="A51" s="3"/>
      <c r="B51" s="3"/>
      <c r="C51" s="3"/>
      <c r="D51" s="3"/>
      <c r="E51" s="45"/>
      <c r="F51" s="1" t="s">
        <v>56</v>
      </c>
      <c r="G51" s="7">
        <v>0.21</v>
      </c>
      <c r="H51" s="45"/>
      <c r="I51" s="3"/>
      <c r="J51" s="3"/>
      <c r="K51" s="3"/>
      <c r="L51" s="3"/>
      <c r="M51" s="45"/>
      <c r="N51" s="1" t="s">
        <v>56</v>
      </c>
      <c r="O51" s="7">
        <v>0.37</v>
      </c>
      <c r="P51" s="45"/>
    </row>
    <row r="52" spans="1:16" ht="14.25" customHeight="1" x14ac:dyDescent="0.35">
      <c r="A52" s="3"/>
      <c r="B52" s="3"/>
      <c r="C52" s="3"/>
      <c r="D52" s="3"/>
      <c r="E52" s="45"/>
      <c r="F52" s="1" t="s">
        <v>57</v>
      </c>
      <c r="G52" s="7">
        <v>0.1</v>
      </c>
      <c r="H52" s="45"/>
      <c r="I52" s="3"/>
      <c r="J52" s="3"/>
      <c r="K52" s="3"/>
      <c r="L52" s="3"/>
      <c r="M52" s="45"/>
      <c r="N52" s="1" t="s">
        <v>57</v>
      </c>
      <c r="O52" s="7">
        <v>0.1</v>
      </c>
      <c r="P52" s="45"/>
    </row>
    <row r="53" spans="1:16" ht="14.25" customHeight="1" x14ac:dyDescent="0.35">
      <c r="A53" s="3"/>
      <c r="B53" s="3"/>
      <c r="C53" s="3"/>
      <c r="D53" s="3"/>
      <c r="E53" s="45"/>
      <c r="F53" s="1" t="s">
        <v>60</v>
      </c>
      <c r="G53" s="7">
        <v>0.08</v>
      </c>
      <c r="H53" s="45"/>
      <c r="I53" s="3"/>
      <c r="J53" s="3"/>
      <c r="K53" s="3"/>
      <c r="L53" s="3"/>
      <c r="M53" s="45"/>
      <c r="N53" s="1" t="s">
        <v>60</v>
      </c>
      <c r="O53" s="7">
        <v>0.1</v>
      </c>
      <c r="P53" s="45"/>
    </row>
    <row r="54" spans="1:16" ht="14.25" customHeight="1" x14ac:dyDescent="0.35">
      <c r="A54" s="3"/>
      <c r="B54" s="3"/>
      <c r="C54" s="3"/>
      <c r="D54" s="3"/>
      <c r="E54" s="45"/>
      <c r="F54" s="1" t="s">
        <v>61</v>
      </c>
      <c r="G54" s="7">
        <v>0.08</v>
      </c>
      <c r="H54" s="45"/>
      <c r="I54" s="3"/>
      <c r="J54" s="3"/>
      <c r="K54" s="3"/>
      <c r="L54" s="3"/>
      <c r="M54" s="45"/>
      <c r="N54" s="1" t="s">
        <v>61</v>
      </c>
      <c r="O54" s="7">
        <v>7.0000000000000007E-2</v>
      </c>
      <c r="P54" s="45"/>
    </row>
    <row r="55" spans="1:16" ht="14.25" customHeight="1" x14ac:dyDescent="0.35">
      <c r="A55" s="3"/>
      <c r="B55" s="3"/>
      <c r="C55" s="3"/>
      <c r="D55" s="3"/>
      <c r="E55" s="45"/>
      <c r="F55" s="1" t="s">
        <v>64</v>
      </c>
      <c r="G55" s="7">
        <v>0.05</v>
      </c>
      <c r="H55" s="45"/>
      <c r="I55" s="3"/>
      <c r="J55" s="3"/>
      <c r="K55" s="3"/>
      <c r="L55" s="3"/>
      <c r="M55" s="45"/>
      <c r="N55" s="1" t="s">
        <v>64</v>
      </c>
      <c r="O55" s="7">
        <v>0.04</v>
      </c>
      <c r="P55" s="45"/>
    </row>
    <row r="56" spans="1:16" ht="14.25" customHeight="1" x14ac:dyDescent="0.35">
      <c r="A56" s="3"/>
      <c r="B56" s="3"/>
      <c r="C56" s="3"/>
      <c r="D56" s="3"/>
      <c r="E56" s="45"/>
      <c r="F56" s="1"/>
      <c r="G56" s="7"/>
      <c r="H56" s="45"/>
      <c r="I56" s="3"/>
      <c r="J56" s="3"/>
      <c r="K56" s="3"/>
      <c r="L56" s="3"/>
      <c r="M56" s="45"/>
      <c r="N56" s="1" t="s">
        <v>65</v>
      </c>
      <c r="O56" s="7">
        <v>0.03</v>
      </c>
      <c r="P56" s="45"/>
    </row>
    <row r="57" spans="1:16" ht="14.25" customHeight="1" x14ac:dyDescent="0.35">
      <c r="A57" s="3"/>
      <c r="B57" s="3"/>
      <c r="C57" s="3"/>
      <c r="D57" s="3"/>
      <c r="E57" s="45"/>
      <c r="F57" s="45"/>
      <c r="G57" s="45"/>
      <c r="H57" s="45"/>
      <c r="I57" s="3"/>
      <c r="J57" s="3"/>
      <c r="K57" s="3"/>
      <c r="L57" s="3"/>
      <c r="M57" s="45"/>
      <c r="N57" s="1" t="s">
        <v>66</v>
      </c>
      <c r="O57" s="7">
        <v>0.03</v>
      </c>
      <c r="P57" s="45"/>
    </row>
    <row r="58" spans="1:16" ht="14.25" customHeight="1" x14ac:dyDescent="0.35">
      <c r="A58" s="3"/>
      <c r="B58" s="3"/>
      <c r="C58" s="3"/>
      <c r="D58" s="3"/>
      <c r="E58" s="45"/>
      <c r="F58" s="45"/>
      <c r="G58" s="45"/>
      <c r="H58" s="45"/>
      <c r="I58" s="3"/>
      <c r="J58" s="3"/>
      <c r="K58" s="3"/>
      <c r="L58" s="3"/>
      <c r="M58" s="45"/>
      <c r="N58" s="45"/>
      <c r="O58" s="45"/>
      <c r="P58" s="45"/>
    </row>
    <row r="59" spans="1:16" ht="14.25" customHeight="1" x14ac:dyDescent="0.35">
      <c r="A59" s="3"/>
      <c r="B59" s="3"/>
      <c r="C59" s="3"/>
      <c r="D59" s="3"/>
      <c r="E59" s="45"/>
      <c r="F59" s="45"/>
      <c r="G59" s="45"/>
      <c r="H59" s="45"/>
      <c r="I59" s="3"/>
      <c r="J59" s="3"/>
      <c r="K59" s="3"/>
      <c r="L59" s="3"/>
      <c r="M59" s="45"/>
      <c r="N59" s="45"/>
      <c r="O59" s="45"/>
      <c r="P59" s="45"/>
    </row>
    <row r="60" spans="1:16" ht="14.25" customHeight="1" x14ac:dyDescent="0.35">
      <c r="A60" s="3"/>
      <c r="B60" s="3"/>
      <c r="C60" s="3"/>
      <c r="D60" s="3"/>
      <c r="E60" s="45"/>
      <c r="F60" s="45"/>
      <c r="G60" s="45"/>
      <c r="H60" s="45"/>
      <c r="I60" s="3"/>
      <c r="J60" s="3"/>
      <c r="K60" s="3"/>
      <c r="L60" s="3"/>
      <c r="M60" s="45"/>
      <c r="N60" s="45"/>
      <c r="O60" s="45"/>
      <c r="P60" s="45"/>
    </row>
    <row r="61" spans="1:16" ht="14.25" customHeight="1" x14ac:dyDescent="0.35">
      <c r="A61" s="3"/>
      <c r="B61" s="3"/>
      <c r="C61" s="3"/>
      <c r="D61" s="3"/>
      <c r="E61" s="45"/>
      <c r="F61" s="45"/>
      <c r="G61" s="45"/>
      <c r="H61" s="45"/>
      <c r="I61" s="3"/>
      <c r="J61" s="3"/>
      <c r="K61" s="3"/>
      <c r="L61" s="3"/>
      <c r="M61" s="45"/>
      <c r="N61" s="45"/>
      <c r="O61" s="45"/>
      <c r="P61" s="45"/>
    </row>
    <row r="62" spans="1:16" ht="14.25" customHeight="1" x14ac:dyDescent="0.35">
      <c r="A62" s="3"/>
      <c r="B62" s="3"/>
      <c r="C62" s="3"/>
      <c r="D62" s="3"/>
      <c r="E62" s="45"/>
      <c r="F62" s="45"/>
      <c r="G62" s="45"/>
      <c r="H62" s="45"/>
      <c r="I62" s="3"/>
      <c r="J62" s="3"/>
      <c r="K62" s="3"/>
      <c r="L62" s="3"/>
      <c r="M62" s="45"/>
      <c r="N62" s="45"/>
      <c r="O62" s="45"/>
      <c r="P62" s="45"/>
    </row>
    <row r="63" spans="1:16" ht="14.25" customHeight="1" x14ac:dyDescent="0.35">
      <c r="A63" s="3"/>
      <c r="B63" s="3"/>
      <c r="C63" s="3"/>
      <c r="D63" s="3"/>
      <c r="E63" s="45"/>
      <c r="F63" s="45"/>
      <c r="G63" s="45"/>
      <c r="H63" s="45"/>
      <c r="I63" s="3"/>
      <c r="J63" s="3"/>
      <c r="K63" s="3"/>
      <c r="L63" s="3"/>
      <c r="M63" s="45"/>
      <c r="N63" s="45"/>
      <c r="O63" s="45"/>
      <c r="P63" s="45"/>
    </row>
    <row r="64" spans="1:16" ht="14.25" customHeight="1" x14ac:dyDescent="0.35">
      <c r="A64" s="3"/>
      <c r="B64" s="3"/>
      <c r="C64" s="3"/>
      <c r="D64" s="3"/>
      <c r="E64" s="45"/>
      <c r="F64" s="45"/>
      <c r="G64" s="45"/>
      <c r="H64" s="45"/>
      <c r="I64" s="3"/>
      <c r="J64" s="3"/>
      <c r="K64" s="3"/>
      <c r="L64" s="3"/>
      <c r="M64" s="45"/>
      <c r="N64" s="45"/>
      <c r="O64" s="45"/>
      <c r="P64" s="45"/>
    </row>
    <row r="65" spans="1:16" ht="14.25" customHeight="1" x14ac:dyDescent="0.35">
      <c r="A65" s="3"/>
      <c r="B65" s="3"/>
      <c r="C65" s="3"/>
      <c r="D65" s="3"/>
      <c r="E65" s="45"/>
      <c r="F65" s="45"/>
      <c r="G65" s="45"/>
      <c r="H65" s="45"/>
      <c r="I65" s="3"/>
      <c r="J65" s="3"/>
      <c r="K65" s="3"/>
      <c r="L65" s="3"/>
      <c r="M65" s="45"/>
      <c r="N65" s="45"/>
      <c r="O65" s="45"/>
      <c r="P65" s="45"/>
    </row>
    <row r="66" spans="1:16" s="213" customFormat="1" ht="14.25" customHeight="1" x14ac:dyDescent="0.35">
      <c r="A66" s="211"/>
      <c r="B66" s="160" t="s">
        <v>67</v>
      </c>
      <c r="C66" s="211"/>
      <c r="D66" s="211"/>
      <c r="E66" s="212"/>
      <c r="F66" s="212"/>
      <c r="G66" s="212"/>
      <c r="H66" s="212"/>
      <c r="I66" s="211"/>
      <c r="J66" s="160" t="s">
        <v>68</v>
      </c>
      <c r="L66" s="211"/>
      <c r="M66" s="212"/>
      <c r="N66" s="212"/>
      <c r="O66" s="212"/>
      <c r="P66" s="212"/>
    </row>
    <row r="67" spans="1:16" ht="14.25" customHeight="1" x14ac:dyDescent="0.35">
      <c r="A67" s="3"/>
      <c r="B67" s="3"/>
      <c r="C67" s="3"/>
      <c r="D67" s="3"/>
      <c r="E67" s="45"/>
      <c r="F67" s="45"/>
      <c r="G67" s="45"/>
      <c r="H67" s="45"/>
      <c r="I67" s="3"/>
      <c r="J67" s="3"/>
      <c r="K67" s="3"/>
      <c r="L67" s="3"/>
      <c r="M67" s="45"/>
      <c r="N67" s="45"/>
      <c r="O67" s="45"/>
      <c r="P67" s="45"/>
    </row>
    <row r="68" spans="1:16" ht="14.25" customHeight="1" x14ac:dyDescent="0.45">
      <c r="A68" s="3"/>
      <c r="B68" s="48"/>
      <c r="C68" s="3"/>
      <c r="D68" s="3"/>
      <c r="E68" s="45"/>
      <c r="F68" s="45"/>
      <c r="G68" s="45"/>
      <c r="H68" s="45"/>
      <c r="I68" s="3"/>
      <c r="J68" s="3"/>
      <c r="K68" s="3"/>
      <c r="L68" s="3"/>
      <c r="M68" s="45"/>
      <c r="N68" s="45"/>
      <c r="O68" s="45"/>
      <c r="P68" s="45"/>
    </row>
    <row r="69" spans="1:16" ht="14.25" customHeight="1" x14ac:dyDescent="0.45">
      <c r="A69" s="3"/>
      <c r="B69" s="3"/>
      <c r="C69" s="3"/>
      <c r="D69" s="3"/>
      <c r="E69" s="45"/>
      <c r="F69" s="48"/>
      <c r="G69" s="45"/>
      <c r="H69" s="45"/>
      <c r="I69" s="3"/>
      <c r="J69" s="3"/>
      <c r="K69" s="3"/>
      <c r="L69" s="3"/>
      <c r="M69" s="45"/>
      <c r="N69" s="48"/>
      <c r="O69" s="45"/>
      <c r="P69" s="45"/>
    </row>
    <row r="70" spans="1:16" ht="14.25" customHeight="1" x14ac:dyDescent="0.35">
      <c r="A70" s="3"/>
      <c r="B70" s="3"/>
      <c r="C70" s="3"/>
      <c r="D70" s="3"/>
      <c r="E70" s="45"/>
      <c r="F70" s="45"/>
      <c r="G70" s="45"/>
      <c r="H70" s="45"/>
      <c r="I70" s="3"/>
      <c r="J70" s="3"/>
      <c r="K70" s="3"/>
      <c r="L70" s="3"/>
      <c r="M70" s="45"/>
      <c r="N70" s="45"/>
      <c r="O70" s="45"/>
      <c r="P70" s="45"/>
    </row>
    <row r="71" spans="1:16" ht="14.25" customHeight="1" x14ac:dyDescent="0.35">
      <c r="A71" s="3"/>
      <c r="B71" s="3"/>
      <c r="C71" s="3"/>
      <c r="D71" s="3"/>
      <c r="E71" s="45"/>
      <c r="F71" s="1" t="s">
        <v>55</v>
      </c>
      <c r="G71" s="7">
        <v>0.19</v>
      </c>
      <c r="H71" s="45"/>
      <c r="I71" s="3"/>
      <c r="J71" s="3"/>
      <c r="K71" s="3"/>
      <c r="L71" s="3"/>
      <c r="M71" s="45"/>
      <c r="N71" s="1" t="s">
        <v>55</v>
      </c>
      <c r="O71" s="7">
        <v>0.14000000000000001</v>
      </c>
      <c r="P71" s="47"/>
    </row>
    <row r="72" spans="1:16" ht="14.25" customHeight="1" x14ac:dyDescent="0.35">
      <c r="A72" s="3"/>
      <c r="B72" s="3"/>
      <c r="C72" s="3"/>
      <c r="D72" s="3"/>
      <c r="E72" s="45"/>
      <c r="F72" s="1" t="s">
        <v>56</v>
      </c>
      <c r="G72" s="7">
        <v>0.13</v>
      </c>
      <c r="H72" s="45"/>
      <c r="I72" s="3"/>
      <c r="J72" s="3"/>
      <c r="K72" s="3"/>
      <c r="L72" s="3"/>
      <c r="M72" s="45"/>
      <c r="N72" s="1" t="s">
        <v>56</v>
      </c>
      <c r="O72" s="7">
        <v>0.11</v>
      </c>
      <c r="P72" s="47"/>
    </row>
    <row r="73" spans="1:16" ht="14.25" customHeight="1" x14ac:dyDescent="0.35">
      <c r="A73" s="3"/>
      <c r="B73" s="3"/>
      <c r="C73" s="3"/>
      <c r="D73" s="3"/>
      <c r="E73" s="45"/>
      <c r="F73" s="1" t="s">
        <v>57</v>
      </c>
      <c r="G73" s="7">
        <v>0.1</v>
      </c>
      <c r="H73" s="45"/>
      <c r="I73" s="3"/>
      <c r="J73" s="3"/>
      <c r="K73" s="3"/>
      <c r="L73" s="3"/>
      <c r="M73" s="45"/>
      <c r="N73" s="1" t="s">
        <v>57</v>
      </c>
      <c r="O73" s="7">
        <v>0.1</v>
      </c>
      <c r="P73" s="47"/>
    </row>
    <row r="74" spans="1:16" ht="14.25" customHeight="1" x14ac:dyDescent="0.35">
      <c r="A74" s="3"/>
      <c r="B74" s="3"/>
      <c r="C74" s="3"/>
      <c r="D74" s="3"/>
      <c r="E74" s="45"/>
      <c r="F74" s="1" t="s">
        <v>60</v>
      </c>
      <c r="G74" s="7">
        <v>0.09</v>
      </c>
      <c r="H74" s="45"/>
      <c r="I74" s="3"/>
      <c r="J74" s="3"/>
      <c r="K74" s="3"/>
      <c r="L74" s="3"/>
      <c r="M74" s="45"/>
      <c r="N74" s="1" t="s">
        <v>60</v>
      </c>
      <c r="O74" s="7">
        <v>0.09</v>
      </c>
      <c r="P74" s="47"/>
    </row>
    <row r="75" spans="1:16" ht="14.25" customHeight="1" x14ac:dyDescent="0.35">
      <c r="A75" s="3"/>
      <c r="B75" s="3"/>
      <c r="C75" s="3"/>
      <c r="D75" s="3"/>
      <c r="E75" s="45"/>
      <c r="F75" s="1" t="s">
        <v>61</v>
      </c>
      <c r="G75" s="7">
        <v>0.08</v>
      </c>
      <c r="H75" s="45"/>
      <c r="I75" s="3"/>
      <c r="J75" s="3"/>
      <c r="K75" s="3"/>
      <c r="L75" s="3"/>
      <c r="M75" s="45"/>
      <c r="N75" s="1" t="s">
        <v>61</v>
      </c>
      <c r="O75" s="7">
        <v>0.08</v>
      </c>
      <c r="P75" s="47"/>
    </row>
    <row r="76" spans="1:16" ht="14.25" customHeight="1" x14ac:dyDescent="0.35">
      <c r="A76" s="3"/>
      <c r="B76" s="3"/>
      <c r="C76" s="3"/>
      <c r="D76" s="3"/>
      <c r="E76" s="45"/>
      <c r="F76" s="1" t="s">
        <v>64</v>
      </c>
      <c r="G76" s="7">
        <v>7.0000000000000007E-2</v>
      </c>
      <c r="H76" s="45"/>
      <c r="I76" s="3"/>
      <c r="J76" s="3"/>
      <c r="K76" s="3"/>
      <c r="L76" s="3"/>
      <c r="M76" s="45"/>
      <c r="N76" s="1" t="s">
        <v>64</v>
      </c>
      <c r="O76" s="7">
        <v>0.06</v>
      </c>
      <c r="P76" s="47"/>
    </row>
    <row r="77" spans="1:16" ht="14.25" customHeight="1" x14ac:dyDescent="0.35">
      <c r="A77" s="3"/>
      <c r="B77" s="3"/>
      <c r="C77" s="3"/>
      <c r="D77" s="3"/>
      <c r="E77" s="45"/>
      <c r="F77" s="1" t="s">
        <v>65</v>
      </c>
      <c r="G77" s="7">
        <v>0.08</v>
      </c>
      <c r="H77" s="45"/>
      <c r="I77" s="3"/>
      <c r="J77" s="3"/>
      <c r="K77" s="3"/>
      <c r="L77" s="3"/>
      <c r="M77" s="45"/>
      <c r="N77" s="1" t="s">
        <v>65</v>
      </c>
      <c r="O77" s="7">
        <v>0.05</v>
      </c>
      <c r="P77" s="47"/>
    </row>
    <row r="78" spans="1:16" ht="14.25" customHeight="1" x14ac:dyDescent="0.35">
      <c r="A78" s="3"/>
      <c r="B78" s="3"/>
      <c r="C78" s="3"/>
      <c r="D78" s="3"/>
      <c r="E78" s="45"/>
      <c r="F78" s="1" t="s">
        <v>66</v>
      </c>
      <c r="G78" s="7">
        <v>0.05</v>
      </c>
      <c r="H78" s="45"/>
      <c r="I78" s="3"/>
      <c r="J78" s="3"/>
      <c r="K78" s="3"/>
      <c r="L78" s="3"/>
      <c r="M78" s="45"/>
      <c r="N78" s="1" t="s">
        <v>66</v>
      </c>
      <c r="O78" s="7">
        <v>0.05</v>
      </c>
      <c r="P78" s="45"/>
    </row>
    <row r="79" spans="1:16" ht="14.25" customHeight="1" x14ac:dyDescent="0.35">
      <c r="A79" s="3"/>
      <c r="B79" s="3"/>
      <c r="C79" s="3"/>
      <c r="D79" s="3"/>
      <c r="E79" s="45"/>
      <c r="F79" s="1" t="s">
        <v>69</v>
      </c>
      <c r="G79" s="7">
        <v>0.05</v>
      </c>
      <c r="H79" s="45"/>
      <c r="I79" s="3"/>
      <c r="J79" s="3"/>
      <c r="K79" s="3"/>
      <c r="L79" s="3"/>
      <c r="M79" s="45"/>
      <c r="N79" s="1" t="s">
        <v>69</v>
      </c>
      <c r="O79" s="7">
        <v>0.05</v>
      </c>
      <c r="P79" s="45"/>
    </row>
    <row r="80" spans="1:16" ht="14.25" customHeight="1" x14ac:dyDescent="0.35">
      <c r="A80" s="3"/>
      <c r="B80" s="3"/>
      <c r="C80" s="3"/>
      <c r="D80" s="3"/>
      <c r="E80" s="45"/>
      <c r="F80" s="1" t="s">
        <v>70</v>
      </c>
      <c r="G80" s="7">
        <v>0.05</v>
      </c>
      <c r="H80" s="45"/>
      <c r="I80" s="3"/>
      <c r="J80" s="3"/>
      <c r="K80" s="3"/>
      <c r="L80" s="3"/>
      <c r="M80" s="3"/>
      <c r="N80" s="1" t="s">
        <v>70</v>
      </c>
      <c r="O80" s="7">
        <v>0.05</v>
      </c>
      <c r="P80" s="45"/>
    </row>
    <row r="81" spans="1:16" ht="14.25" customHeight="1" x14ac:dyDescent="0.35">
      <c r="A81" s="3"/>
      <c r="B81" s="3"/>
      <c r="C81" s="3"/>
      <c r="D81" s="3"/>
      <c r="E81" s="45"/>
      <c r="F81" s="1"/>
      <c r="G81" s="7"/>
      <c r="H81" s="45"/>
      <c r="I81" s="3"/>
      <c r="J81" s="3"/>
      <c r="K81" s="3"/>
      <c r="L81" s="3"/>
      <c r="M81" s="3"/>
      <c r="N81" s="1" t="s">
        <v>71</v>
      </c>
      <c r="O81" s="7">
        <v>7.0000000000000007E-2</v>
      </c>
      <c r="P81" s="45"/>
    </row>
    <row r="82" spans="1:16" ht="14.25" customHeight="1" x14ac:dyDescent="0.35">
      <c r="A82" s="3"/>
      <c r="B82" s="3"/>
      <c r="C82" s="3"/>
      <c r="D82" s="3"/>
      <c r="E82" s="45"/>
      <c r="F82" s="1"/>
      <c r="G82" s="7"/>
      <c r="H82" s="45"/>
      <c r="I82" s="3"/>
      <c r="J82" s="3"/>
      <c r="K82" s="3"/>
      <c r="L82" s="3"/>
      <c r="M82" s="3"/>
      <c r="N82" s="1" t="s">
        <v>72</v>
      </c>
      <c r="O82" s="7">
        <v>0.04</v>
      </c>
      <c r="P82" s="45"/>
    </row>
    <row r="83" spans="1:16" ht="14.25" customHeight="1" x14ac:dyDescent="0.35">
      <c r="A83" s="3"/>
      <c r="B83" s="3"/>
      <c r="C83" s="3"/>
      <c r="D83" s="3"/>
      <c r="E83" s="45"/>
      <c r="F83" s="45"/>
      <c r="G83" s="45"/>
      <c r="H83" s="45"/>
      <c r="I83" s="3"/>
      <c r="J83" s="3"/>
      <c r="K83" s="3"/>
      <c r="L83" s="3"/>
      <c r="M83" s="3"/>
      <c r="N83" s="1" t="s">
        <v>73</v>
      </c>
      <c r="O83" s="7">
        <v>0.04</v>
      </c>
      <c r="P83" s="45"/>
    </row>
    <row r="84" spans="1:16" ht="14.25" customHeight="1" x14ac:dyDescent="0.35">
      <c r="A84" s="3"/>
      <c r="B84" s="3"/>
      <c r="C84" s="3"/>
      <c r="D84" s="3"/>
      <c r="E84" s="45"/>
      <c r="F84" s="45"/>
      <c r="G84" s="45"/>
      <c r="H84" s="45"/>
      <c r="I84" s="3"/>
      <c r="J84" s="3"/>
      <c r="K84" s="3"/>
      <c r="L84" s="3"/>
      <c r="M84" s="45"/>
      <c r="N84" s="1" t="s">
        <v>74</v>
      </c>
      <c r="O84" s="7">
        <v>0.04</v>
      </c>
      <c r="P84" s="45"/>
    </row>
    <row r="85" spans="1:16" ht="14.25" customHeight="1" x14ac:dyDescent="0.35">
      <c r="A85" s="3"/>
      <c r="B85" s="3"/>
      <c r="C85" s="3"/>
      <c r="D85" s="3"/>
      <c r="E85" s="45"/>
      <c r="F85" s="45"/>
      <c r="G85" s="45"/>
      <c r="H85" s="45"/>
      <c r="I85" s="3"/>
      <c r="J85" s="3"/>
      <c r="K85" s="3"/>
      <c r="L85" s="3"/>
      <c r="M85" s="45"/>
      <c r="N85" s="1"/>
      <c r="O85" s="7"/>
      <c r="P85" s="45"/>
    </row>
  </sheetData>
  <pageMargins left="0.7" right="0.7" top="0.75" bottom="0.75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 summaryRight="0"/>
  </sheetPr>
  <dimension ref="A1:U113"/>
  <sheetViews>
    <sheetView showGridLines="0" topLeftCell="A85" zoomScale="85" zoomScaleNormal="85" workbookViewId="0">
      <selection activeCell="G90" sqref="G90"/>
    </sheetView>
  </sheetViews>
  <sheetFormatPr baseColWidth="10" defaultColWidth="12.4609375" defaultRowHeight="15.75" customHeight="1" x14ac:dyDescent="0.3"/>
  <cols>
    <col min="1" max="1" width="5.4609375" customWidth="1"/>
    <col min="2" max="21" width="10.4609375" customWidth="1"/>
  </cols>
  <sheetData>
    <row r="1" spans="1:21" ht="14.25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</row>
    <row r="2" spans="1:21" ht="14.2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</row>
    <row r="3" spans="1:21" ht="14.25" customHeigh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</row>
    <row r="4" spans="1:21" s="213" customFormat="1" ht="14.25" customHeight="1" x14ac:dyDescent="0.35">
      <c r="A4" s="211"/>
      <c r="B4" s="160" t="s">
        <v>75</v>
      </c>
      <c r="C4" s="211"/>
      <c r="D4" s="211"/>
      <c r="E4" s="211"/>
      <c r="F4" s="211"/>
      <c r="G4" s="211"/>
      <c r="H4" s="211"/>
      <c r="I4" s="211"/>
      <c r="J4" s="211"/>
      <c r="K4" s="212"/>
      <c r="L4" s="212"/>
      <c r="M4" s="160" t="s">
        <v>76</v>
      </c>
      <c r="N4" s="211"/>
      <c r="O4" s="211"/>
      <c r="P4" s="211"/>
      <c r="Q4" s="211"/>
      <c r="R4" s="211"/>
      <c r="S4" s="211"/>
      <c r="T4" s="211"/>
      <c r="U4" s="211"/>
    </row>
    <row r="5" spans="1:21" s="213" customFormat="1" ht="14.25" customHeight="1" x14ac:dyDescent="0.35">
      <c r="A5" s="211"/>
      <c r="B5" s="213" t="s">
        <v>77</v>
      </c>
      <c r="C5" s="212"/>
      <c r="D5" s="214"/>
      <c r="E5" s="214"/>
      <c r="F5" s="211"/>
      <c r="G5" s="211"/>
      <c r="H5" s="211"/>
      <c r="I5" s="211"/>
      <c r="J5" s="211"/>
      <c r="K5" s="212"/>
      <c r="L5" s="212"/>
      <c r="N5" s="212"/>
      <c r="O5" s="214"/>
      <c r="P5" s="211"/>
      <c r="Q5" s="211"/>
      <c r="R5" s="211"/>
      <c r="S5" s="211"/>
      <c r="T5" s="211"/>
      <c r="U5" s="211"/>
    </row>
    <row r="6" spans="1:21" ht="14.25" customHeight="1" x14ac:dyDescent="0.35">
      <c r="A6" s="3"/>
      <c r="B6" s="3"/>
      <c r="C6" s="45"/>
      <c r="D6" s="50"/>
      <c r="E6" s="50"/>
      <c r="F6" s="3"/>
      <c r="G6" s="3"/>
      <c r="H6" s="3"/>
      <c r="I6" s="3"/>
      <c r="J6" s="3"/>
      <c r="K6" s="45"/>
      <c r="L6" s="45"/>
      <c r="M6" s="3"/>
      <c r="Q6" s="3"/>
      <c r="R6" s="3"/>
      <c r="S6" s="3"/>
      <c r="T6" s="3"/>
      <c r="U6" s="3"/>
    </row>
    <row r="7" spans="1:21" ht="14.25" customHeight="1" x14ac:dyDescent="0.35">
      <c r="A7" s="3"/>
      <c r="B7" s="1" t="s">
        <v>78</v>
      </c>
      <c r="C7" s="52">
        <v>0.09</v>
      </c>
      <c r="D7" s="53"/>
      <c r="E7" s="52"/>
      <c r="F7" s="3"/>
      <c r="G7" s="3"/>
      <c r="H7" s="3"/>
      <c r="I7" s="3"/>
      <c r="J7" s="3"/>
      <c r="K7" s="45"/>
      <c r="L7" s="45"/>
      <c r="M7" s="45"/>
      <c r="N7" s="50" t="s">
        <v>79</v>
      </c>
      <c r="O7" s="4" t="s">
        <v>80</v>
      </c>
      <c r="Q7" s="3"/>
      <c r="R7" s="3"/>
      <c r="S7" s="3"/>
      <c r="T7" s="3"/>
      <c r="U7" s="3"/>
    </row>
    <row r="8" spans="1:21" ht="14.25" customHeight="1" x14ac:dyDescent="0.35">
      <c r="A8" s="3"/>
      <c r="B8" s="1" t="s">
        <v>82</v>
      </c>
      <c r="C8" s="52">
        <v>0.08</v>
      </c>
      <c r="E8" s="52"/>
      <c r="F8" s="3"/>
      <c r="G8" s="3"/>
      <c r="H8" s="3"/>
      <c r="I8" s="3"/>
      <c r="J8" s="3"/>
      <c r="K8" s="45"/>
      <c r="L8" s="45"/>
      <c r="M8" s="1" t="s">
        <v>81</v>
      </c>
      <c r="N8" s="52">
        <v>0.09</v>
      </c>
      <c r="O8" s="52">
        <v>0.11</v>
      </c>
      <c r="Q8" s="3"/>
      <c r="R8" s="3"/>
      <c r="S8" s="3"/>
      <c r="T8" s="3"/>
      <c r="U8" s="3"/>
    </row>
    <row r="9" spans="1:21" ht="14.25" customHeight="1" x14ac:dyDescent="0.35">
      <c r="A9" s="3"/>
      <c r="B9" s="1" t="s">
        <v>85</v>
      </c>
      <c r="C9" s="52">
        <v>0.1</v>
      </c>
      <c r="E9" s="52"/>
      <c r="F9" s="3"/>
      <c r="G9" s="3"/>
      <c r="H9" s="3"/>
      <c r="I9" s="3"/>
      <c r="J9" s="3"/>
      <c r="K9" s="45"/>
      <c r="L9" s="45"/>
      <c r="M9" s="1" t="s">
        <v>83</v>
      </c>
      <c r="N9" s="52">
        <v>0.08</v>
      </c>
      <c r="O9" s="52">
        <v>0.06</v>
      </c>
      <c r="Q9" s="3"/>
      <c r="R9" s="3"/>
      <c r="S9" s="3"/>
      <c r="T9" s="3"/>
      <c r="U9" s="3"/>
    </row>
    <row r="10" spans="1:21" ht="14.25" customHeight="1" x14ac:dyDescent="0.35">
      <c r="A10" s="3"/>
      <c r="B10" s="1" t="s">
        <v>87</v>
      </c>
      <c r="C10" s="52">
        <v>0.09</v>
      </c>
      <c r="E10" s="52"/>
      <c r="F10" s="3"/>
      <c r="G10" s="3"/>
      <c r="H10" s="3"/>
      <c r="I10" s="3"/>
      <c r="J10" s="3"/>
      <c r="K10" s="45"/>
      <c r="L10" s="45"/>
      <c r="M10" s="1" t="s">
        <v>84</v>
      </c>
      <c r="N10" s="52">
        <v>0.1</v>
      </c>
      <c r="O10" s="52">
        <v>0.08</v>
      </c>
      <c r="Q10" s="3"/>
      <c r="R10" s="3"/>
      <c r="S10" s="3"/>
      <c r="T10" s="3"/>
      <c r="U10" s="3"/>
    </row>
    <row r="11" spans="1:21" ht="14.25" customHeight="1" x14ac:dyDescent="0.35">
      <c r="A11" s="3"/>
      <c r="E11" s="52"/>
      <c r="F11" s="3"/>
      <c r="G11" s="3"/>
      <c r="H11" s="3"/>
      <c r="I11" s="3"/>
      <c r="J11" s="3"/>
      <c r="K11" s="45"/>
      <c r="L11" s="45"/>
      <c r="M11" s="1" t="s">
        <v>86</v>
      </c>
      <c r="N11" s="52">
        <v>0.09</v>
      </c>
      <c r="O11" s="52">
        <v>0.15</v>
      </c>
      <c r="Q11" s="3"/>
      <c r="R11" s="3"/>
      <c r="S11" s="3"/>
      <c r="T11" s="3"/>
      <c r="U11" s="3"/>
    </row>
    <row r="12" spans="1:21" ht="14.25" customHeight="1" x14ac:dyDescent="0.35">
      <c r="A12" s="3"/>
      <c r="B12" s="54"/>
      <c r="C12" s="55"/>
      <c r="E12" s="52"/>
      <c r="F12" s="3"/>
      <c r="G12" s="3"/>
      <c r="H12" s="3"/>
      <c r="I12" s="3"/>
      <c r="J12" s="3"/>
      <c r="K12" s="45"/>
      <c r="L12" s="45"/>
      <c r="M12" s="100"/>
      <c r="N12" s="100"/>
      <c r="O12" s="100"/>
      <c r="Q12" s="3"/>
      <c r="R12" s="3"/>
      <c r="S12" s="3"/>
      <c r="T12" s="3"/>
      <c r="U12" s="3"/>
    </row>
    <row r="13" spans="1:21" ht="14.25" customHeight="1" x14ac:dyDescent="0.35">
      <c r="A13" s="3"/>
      <c r="E13" s="52"/>
      <c r="F13" s="3"/>
      <c r="G13" s="3"/>
      <c r="H13" s="3"/>
      <c r="I13" s="3"/>
      <c r="J13" s="3"/>
      <c r="K13" s="45"/>
      <c r="L13" s="45"/>
      <c r="M13" s="100"/>
      <c r="N13" s="100"/>
      <c r="O13" s="100"/>
      <c r="Q13" s="3"/>
      <c r="R13" s="3"/>
      <c r="S13" s="3"/>
      <c r="T13" s="3"/>
      <c r="U13" s="3"/>
    </row>
    <row r="14" spans="1:21" ht="14.25" customHeight="1" x14ac:dyDescent="0.35">
      <c r="A14" s="3"/>
      <c r="B14" s="3"/>
      <c r="C14" s="45"/>
      <c r="D14" s="57"/>
      <c r="E14" s="52"/>
      <c r="F14" s="3"/>
      <c r="G14" s="3"/>
      <c r="H14" s="3"/>
      <c r="I14" s="3"/>
      <c r="J14" s="3"/>
      <c r="K14" s="45"/>
      <c r="L14" s="45"/>
      <c r="M14" s="100"/>
      <c r="N14" s="100"/>
      <c r="O14" s="100"/>
      <c r="Q14" s="3"/>
      <c r="R14" s="3"/>
      <c r="S14" s="3"/>
      <c r="T14" s="3"/>
      <c r="U14" s="3"/>
    </row>
    <row r="15" spans="1:21" ht="14.25" customHeight="1" x14ac:dyDescent="0.35">
      <c r="A15" s="3"/>
      <c r="B15" s="3"/>
      <c r="C15" s="45"/>
      <c r="D15" s="52"/>
      <c r="E15" s="52"/>
      <c r="F15" s="3"/>
      <c r="G15" s="3"/>
      <c r="H15" s="3"/>
      <c r="I15" s="3"/>
      <c r="J15" s="3"/>
      <c r="K15" s="3"/>
      <c r="L15" s="3"/>
      <c r="M15" s="100"/>
      <c r="N15" s="100"/>
      <c r="O15" s="100"/>
      <c r="Q15" s="3"/>
      <c r="R15" s="3"/>
      <c r="S15" s="3"/>
      <c r="T15" s="3"/>
      <c r="U15" s="3"/>
    </row>
    <row r="16" spans="1:21" ht="14.25" customHeight="1" x14ac:dyDescent="0.35">
      <c r="A16" s="3"/>
      <c r="B16" s="3"/>
      <c r="C16" s="45"/>
      <c r="D16" s="52"/>
      <c r="E16" s="52"/>
      <c r="F16" s="3"/>
      <c r="G16" s="3"/>
      <c r="H16" s="3"/>
      <c r="I16" s="3"/>
      <c r="J16" s="3"/>
      <c r="K16" s="3"/>
      <c r="L16" s="3"/>
      <c r="M16" s="3"/>
      <c r="N16" s="45"/>
      <c r="O16" s="52"/>
      <c r="P16" s="3"/>
      <c r="Q16" s="3"/>
      <c r="R16" s="3"/>
      <c r="S16" s="3"/>
      <c r="T16" s="3"/>
      <c r="U16" s="3"/>
    </row>
    <row r="17" spans="1:21" ht="14.25" customHeight="1" x14ac:dyDescent="0.35">
      <c r="A17" s="3"/>
      <c r="B17" s="3"/>
      <c r="C17" s="45"/>
      <c r="D17" s="52"/>
      <c r="E17" s="52"/>
      <c r="F17" s="3"/>
      <c r="G17" s="3"/>
      <c r="H17" s="3"/>
      <c r="I17" s="3"/>
      <c r="J17" s="3"/>
      <c r="K17" s="3"/>
      <c r="L17" s="3"/>
      <c r="M17" s="3"/>
      <c r="N17" s="45"/>
      <c r="O17" s="52"/>
      <c r="P17" s="3"/>
      <c r="Q17" s="3"/>
      <c r="R17" s="3"/>
      <c r="S17" s="3"/>
      <c r="T17" s="3"/>
      <c r="U17" s="3"/>
    </row>
    <row r="18" spans="1:21" ht="14.25" customHeight="1" x14ac:dyDescent="0.35">
      <c r="A18" s="3"/>
      <c r="B18" s="3"/>
      <c r="C18" s="45"/>
      <c r="D18" s="45"/>
      <c r="E18" s="45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</row>
    <row r="19" spans="1:21" ht="14.25" customHeight="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</row>
    <row r="20" spans="1:21" ht="14.25" customHeight="1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</row>
    <row r="21" spans="1:21" ht="14.25" customHeight="1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</row>
    <row r="22" spans="1:21" ht="14.25" customHeight="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</row>
    <row r="23" spans="1:21" ht="14.25" customHeight="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</row>
    <row r="24" spans="1:21" ht="14.25" customHeight="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</row>
    <row r="25" spans="1:21" ht="14.25" customHeigh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</row>
    <row r="26" spans="1:21" s="213" customFormat="1" ht="14.25" customHeight="1" x14ac:dyDescent="0.35">
      <c r="A26" s="211"/>
      <c r="B26" s="160" t="s">
        <v>88</v>
      </c>
      <c r="C26" s="211"/>
      <c r="D26" s="211"/>
      <c r="E26" s="211"/>
      <c r="F26" s="211"/>
      <c r="G26" s="211"/>
      <c r="H26" s="211"/>
      <c r="I26" s="211"/>
      <c r="J26" s="211"/>
      <c r="K26" s="211"/>
      <c r="L26" s="211"/>
      <c r="M26" s="160" t="s">
        <v>89</v>
      </c>
      <c r="N26" s="211"/>
      <c r="O26" s="211"/>
      <c r="P26" s="211"/>
      <c r="Q26" s="211"/>
      <c r="R26" s="211"/>
      <c r="S26" s="211"/>
      <c r="T26" s="211"/>
      <c r="U26" s="211"/>
    </row>
    <row r="27" spans="1:21" ht="14.25" customHeight="1" x14ac:dyDescent="0.35">
      <c r="A27" s="3"/>
      <c r="B27" s="3"/>
      <c r="C27" s="45" t="s">
        <v>90</v>
      </c>
      <c r="D27" s="50"/>
      <c r="E27" s="3"/>
      <c r="F27" s="3"/>
      <c r="G27" s="3"/>
      <c r="H27" s="3"/>
      <c r="I27" s="3"/>
      <c r="J27" s="3"/>
      <c r="K27" s="3"/>
      <c r="L27" s="3"/>
      <c r="P27" s="3"/>
      <c r="Q27" s="3"/>
      <c r="R27" s="3"/>
      <c r="S27" s="3"/>
      <c r="T27" s="3"/>
      <c r="U27" s="3"/>
    </row>
    <row r="28" spans="1:21" ht="14.25" customHeight="1" x14ac:dyDescent="0.35">
      <c r="A28" s="3"/>
      <c r="B28" s="46">
        <v>2015</v>
      </c>
      <c r="C28" s="5">
        <v>0.03</v>
      </c>
      <c r="E28" s="50"/>
      <c r="F28" s="3"/>
      <c r="G28" s="3"/>
      <c r="H28" s="3"/>
      <c r="I28" s="3"/>
      <c r="J28" s="3"/>
      <c r="K28" s="3"/>
      <c r="L28" s="3"/>
      <c r="M28" s="100"/>
      <c r="N28" s="4" t="s">
        <v>91</v>
      </c>
      <c r="O28" s="50" t="s">
        <v>92</v>
      </c>
      <c r="P28" s="3"/>
      <c r="Q28" s="3"/>
      <c r="R28" s="3"/>
      <c r="S28" s="3"/>
      <c r="T28" s="3"/>
      <c r="U28" s="3"/>
    </row>
    <row r="29" spans="1:21" ht="14.25" customHeight="1" x14ac:dyDescent="0.35">
      <c r="A29" s="3"/>
      <c r="B29" s="46">
        <v>2016</v>
      </c>
      <c r="C29" s="52">
        <v>0.08</v>
      </c>
      <c r="E29" s="52"/>
      <c r="F29" s="3"/>
      <c r="G29" s="3"/>
      <c r="H29" s="3"/>
      <c r="I29" s="3"/>
      <c r="J29" s="3"/>
      <c r="K29" s="3"/>
      <c r="L29" s="3"/>
      <c r="M29" s="1" t="s">
        <v>93</v>
      </c>
      <c r="N29" s="52">
        <v>0.09</v>
      </c>
      <c r="O29" s="52">
        <v>0.11</v>
      </c>
      <c r="P29" s="3"/>
      <c r="Q29" s="3"/>
      <c r="R29" s="3"/>
      <c r="S29" s="3"/>
      <c r="T29" s="3"/>
      <c r="U29" s="3"/>
    </row>
    <row r="30" spans="1:21" ht="14.25" customHeight="1" x14ac:dyDescent="0.35">
      <c r="A30" s="3"/>
      <c r="B30" s="46">
        <v>2017</v>
      </c>
      <c r="C30" s="52">
        <v>7.0000000000000007E-2</v>
      </c>
      <c r="E30" s="52"/>
      <c r="F30" s="3"/>
      <c r="G30" s="3"/>
      <c r="H30" s="3"/>
      <c r="I30" s="3"/>
      <c r="J30" s="3"/>
      <c r="K30" s="3"/>
      <c r="L30" s="3"/>
      <c r="M30" s="1" t="s">
        <v>94</v>
      </c>
      <c r="N30" s="52">
        <v>0.08</v>
      </c>
      <c r="O30" s="52">
        <v>0.06</v>
      </c>
      <c r="P30" s="3"/>
      <c r="Q30" s="3"/>
      <c r="R30" s="3"/>
      <c r="S30" s="3"/>
      <c r="T30" s="3"/>
      <c r="U30" s="3"/>
    </row>
    <row r="31" spans="1:21" ht="14.25" customHeight="1" x14ac:dyDescent="0.35">
      <c r="A31" s="3"/>
      <c r="B31" s="46">
        <v>2018</v>
      </c>
      <c r="C31" s="52">
        <v>0.15</v>
      </c>
      <c r="E31" s="52"/>
      <c r="F31" s="3"/>
      <c r="G31" s="3"/>
      <c r="H31" s="3"/>
      <c r="I31" s="3"/>
      <c r="J31" s="3"/>
      <c r="K31" s="3"/>
      <c r="L31" s="3"/>
      <c r="M31" s="1" t="s">
        <v>95</v>
      </c>
      <c r="N31" s="52">
        <v>0.1</v>
      </c>
      <c r="O31" s="52">
        <v>0.08</v>
      </c>
      <c r="P31" s="3"/>
      <c r="Q31" s="3"/>
      <c r="R31" s="3"/>
      <c r="S31" s="3"/>
      <c r="T31" s="3"/>
      <c r="U31" s="3"/>
    </row>
    <row r="32" spans="1:21" ht="14.25" customHeight="1" x14ac:dyDescent="0.35">
      <c r="A32" s="3"/>
      <c r="B32" s="46">
        <v>2019</v>
      </c>
      <c r="C32" s="52">
        <v>0.25</v>
      </c>
      <c r="E32" s="52"/>
      <c r="F32" s="3"/>
      <c r="G32" s="3"/>
      <c r="H32" s="3"/>
      <c r="I32" s="3"/>
      <c r="J32" s="3"/>
      <c r="K32" s="3"/>
      <c r="L32" s="3"/>
      <c r="M32" s="1" t="s">
        <v>96</v>
      </c>
      <c r="N32" s="52">
        <v>0.09</v>
      </c>
      <c r="O32" s="52">
        <v>0.15</v>
      </c>
      <c r="P32" s="3"/>
      <c r="Q32" s="3"/>
      <c r="R32" s="3"/>
      <c r="S32" s="3"/>
      <c r="T32" s="3"/>
      <c r="U32" s="3"/>
    </row>
    <row r="33" spans="1:21" ht="14.25" customHeight="1" x14ac:dyDescent="0.35">
      <c r="A33" s="3"/>
      <c r="B33" s="46">
        <v>2020</v>
      </c>
      <c r="C33" s="56">
        <v>0.2</v>
      </c>
      <c r="E33" s="52"/>
      <c r="F33" s="3"/>
      <c r="G33" s="3"/>
      <c r="H33" s="3"/>
      <c r="I33" s="3"/>
      <c r="J33" s="3"/>
      <c r="K33" s="3"/>
      <c r="L33" s="3"/>
      <c r="M33" s="1" t="s">
        <v>97</v>
      </c>
      <c r="N33" s="52">
        <v>9.5000000000000001E-2</v>
      </c>
      <c r="O33" s="52">
        <v>0.18</v>
      </c>
      <c r="P33" s="3"/>
      <c r="Q33" s="3"/>
      <c r="R33" s="3"/>
      <c r="S33" s="3"/>
      <c r="T33" s="3"/>
      <c r="U33" s="3"/>
    </row>
    <row r="34" spans="1:21" ht="14.25" customHeight="1" x14ac:dyDescent="0.35">
      <c r="A34" s="3"/>
      <c r="B34" s="46">
        <v>2021</v>
      </c>
      <c r="C34" s="56">
        <v>0.24</v>
      </c>
      <c r="E34" s="52"/>
      <c r="F34" s="3"/>
      <c r="G34" s="3"/>
      <c r="H34" s="3"/>
      <c r="I34" s="3"/>
      <c r="J34" s="3"/>
      <c r="K34" s="3"/>
      <c r="L34" s="3"/>
      <c r="M34" s="1" t="s">
        <v>98</v>
      </c>
      <c r="N34" s="52">
        <v>0.11</v>
      </c>
      <c r="O34" s="52">
        <v>0.17</v>
      </c>
      <c r="P34" s="3"/>
      <c r="Q34" s="3"/>
      <c r="R34" s="3"/>
      <c r="S34" s="3"/>
      <c r="T34" s="3"/>
      <c r="U34" s="3"/>
    </row>
    <row r="35" spans="1:21" ht="14.25" customHeight="1" x14ac:dyDescent="0.35">
      <c r="A35" s="3"/>
      <c r="B35" s="46">
        <v>2022</v>
      </c>
      <c r="C35" s="56">
        <v>0.28999999999999998</v>
      </c>
      <c r="E35" s="52"/>
      <c r="F35" s="3"/>
      <c r="G35" s="3"/>
      <c r="H35" s="3"/>
      <c r="I35" s="3"/>
      <c r="J35" s="3"/>
      <c r="K35" s="3"/>
      <c r="L35" s="3"/>
      <c r="M35" s="1" t="s">
        <v>99</v>
      </c>
      <c r="N35" s="52">
        <v>0.12</v>
      </c>
      <c r="O35" s="52">
        <v>0.19</v>
      </c>
      <c r="P35" s="3"/>
      <c r="Q35" s="3"/>
      <c r="R35" s="3"/>
      <c r="S35" s="3"/>
      <c r="T35" s="3"/>
      <c r="U35" s="3"/>
    </row>
    <row r="36" spans="1:21" ht="14.25" customHeight="1" x14ac:dyDescent="0.35">
      <c r="A36" s="3"/>
      <c r="B36" s="3"/>
      <c r="C36" s="45"/>
      <c r="D36" s="52"/>
      <c r="E36" s="52"/>
      <c r="F36" s="3"/>
      <c r="G36" s="3"/>
      <c r="H36" s="3"/>
      <c r="I36" s="3"/>
      <c r="J36" s="3"/>
      <c r="K36" s="3"/>
      <c r="L36" s="3"/>
      <c r="M36" s="1" t="s">
        <v>100</v>
      </c>
      <c r="N36" s="52">
        <v>0.10100000000000001</v>
      </c>
      <c r="O36" s="52">
        <v>0.21</v>
      </c>
      <c r="P36" s="3"/>
      <c r="Q36" s="3"/>
      <c r="R36" s="3"/>
      <c r="S36" s="3"/>
      <c r="T36" s="3"/>
      <c r="U36" s="3"/>
    </row>
    <row r="37" spans="1:21" ht="14.25" customHeight="1" x14ac:dyDescent="0.35">
      <c r="A37" s="3"/>
      <c r="B37" s="3"/>
      <c r="C37" s="45"/>
      <c r="D37" s="52"/>
      <c r="E37" s="52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</row>
    <row r="38" spans="1:21" ht="14.25" customHeight="1" x14ac:dyDescent="0.35">
      <c r="A38" s="3"/>
      <c r="B38" s="3"/>
      <c r="C38" s="45"/>
      <c r="D38" s="52"/>
      <c r="E38" s="52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</row>
    <row r="39" spans="1:21" ht="14.25" customHeight="1" x14ac:dyDescent="0.35">
      <c r="A39" s="3"/>
      <c r="B39" s="3"/>
      <c r="C39" s="45"/>
      <c r="D39" s="52"/>
      <c r="E39" s="52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</row>
    <row r="40" spans="1:21" ht="14.25" customHeight="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</row>
    <row r="41" spans="1:21" ht="14.25" customHeight="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</row>
    <row r="42" spans="1:21" ht="14.25" customHeight="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</row>
    <row r="43" spans="1:21" ht="14.25" customHeight="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</row>
    <row r="44" spans="1:21" s="213" customFormat="1" ht="14.25" customHeight="1" x14ac:dyDescent="0.35">
      <c r="A44" s="211"/>
      <c r="B44" s="160" t="s">
        <v>101</v>
      </c>
      <c r="C44" s="211"/>
      <c r="D44" s="211"/>
      <c r="E44" s="211"/>
      <c r="F44" s="211"/>
      <c r="G44" s="211"/>
      <c r="H44" s="211"/>
      <c r="I44" s="211"/>
      <c r="J44" s="211"/>
      <c r="K44" s="211"/>
      <c r="L44" s="211"/>
      <c r="M44" s="211"/>
      <c r="N44" s="211"/>
      <c r="O44" s="211"/>
      <c r="P44" s="211"/>
      <c r="Q44" s="211"/>
      <c r="R44" s="211"/>
      <c r="S44" s="211"/>
      <c r="T44" s="211"/>
      <c r="U44" s="211"/>
    </row>
    <row r="45" spans="1:21" ht="14.25" customHeight="1" x14ac:dyDescent="0.35">
      <c r="A45" s="3"/>
      <c r="B45" s="3"/>
      <c r="C45" s="45" t="s">
        <v>90</v>
      </c>
      <c r="D45" s="50"/>
      <c r="E45" s="3"/>
      <c r="F45" s="3"/>
      <c r="G45" s="3"/>
      <c r="H45" s="3"/>
      <c r="I45" s="3"/>
      <c r="J45" s="3"/>
      <c r="K45" s="3"/>
      <c r="L45" s="3"/>
      <c r="M45" s="25" t="s">
        <v>102</v>
      </c>
      <c r="N45" s="3"/>
      <c r="O45" s="3"/>
      <c r="P45" s="3"/>
      <c r="Q45" s="3"/>
      <c r="R45" s="3"/>
      <c r="S45" s="3"/>
      <c r="T45" s="3"/>
      <c r="U45" s="3"/>
    </row>
    <row r="46" spans="1:21" ht="14.25" customHeight="1" x14ac:dyDescent="0.35">
      <c r="A46" s="3"/>
      <c r="B46" s="46">
        <v>2015</v>
      </c>
      <c r="C46" s="5">
        <v>0.13</v>
      </c>
      <c r="E46" s="3"/>
      <c r="F46" s="3"/>
      <c r="G46" s="3"/>
      <c r="H46" s="3"/>
      <c r="I46" s="3"/>
      <c r="J46" s="3"/>
      <c r="K46" s="3"/>
      <c r="L46" s="3"/>
      <c r="O46" s="3"/>
      <c r="P46" s="3"/>
      <c r="Q46" s="3"/>
      <c r="R46" s="3"/>
      <c r="S46" s="3"/>
      <c r="T46" s="3"/>
      <c r="U46" s="3"/>
    </row>
    <row r="47" spans="1:21" ht="14.25" customHeight="1" x14ac:dyDescent="0.35">
      <c r="A47" s="3"/>
      <c r="B47" s="46">
        <v>2016</v>
      </c>
      <c r="C47" s="56">
        <v>0.11</v>
      </c>
      <c r="E47" s="3"/>
      <c r="F47" s="3"/>
      <c r="G47" s="3"/>
      <c r="H47" s="3"/>
      <c r="I47" s="3"/>
      <c r="J47" s="3"/>
      <c r="K47" s="3"/>
      <c r="L47" s="3"/>
      <c r="M47" s="58" t="s">
        <v>55</v>
      </c>
      <c r="N47" s="4">
        <v>145</v>
      </c>
      <c r="O47" s="3"/>
      <c r="P47" s="3"/>
      <c r="Q47" s="3"/>
      <c r="R47" s="3"/>
      <c r="S47" s="3"/>
      <c r="T47" s="3"/>
      <c r="U47" s="3"/>
    </row>
    <row r="48" spans="1:21" ht="14.25" customHeight="1" x14ac:dyDescent="0.35">
      <c r="A48" s="3"/>
      <c r="B48" s="46">
        <v>2017</v>
      </c>
      <c r="C48" s="56">
        <v>0.1</v>
      </c>
      <c r="E48" s="50"/>
      <c r="F48" s="3"/>
      <c r="G48" s="3"/>
      <c r="H48" s="3"/>
      <c r="I48" s="3"/>
      <c r="J48" s="3"/>
      <c r="K48" s="3"/>
      <c r="L48" s="3"/>
      <c r="M48" s="59" t="s">
        <v>56</v>
      </c>
      <c r="N48" s="60">
        <f>10+0.4</f>
        <v>10.4</v>
      </c>
      <c r="O48" s="3"/>
      <c r="P48" s="3"/>
      <c r="Q48" s="3"/>
      <c r="R48" s="3"/>
      <c r="S48" s="3"/>
      <c r="T48" s="3"/>
      <c r="U48" s="3"/>
    </row>
    <row r="49" spans="1:21" ht="14.25" customHeight="1" x14ac:dyDescent="0.35">
      <c r="A49" s="3"/>
      <c r="B49" s="46">
        <v>2018</v>
      </c>
      <c r="C49" s="52">
        <v>0.15</v>
      </c>
      <c r="E49" s="52"/>
      <c r="F49" s="3"/>
      <c r="G49" s="3"/>
      <c r="H49" s="3"/>
      <c r="I49" s="3"/>
      <c r="J49" s="3"/>
      <c r="K49" s="3"/>
      <c r="L49" s="3"/>
      <c r="M49" s="59" t="s">
        <v>57</v>
      </c>
      <c r="N49" s="60">
        <v>56</v>
      </c>
      <c r="O49" s="3"/>
      <c r="P49" s="3"/>
      <c r="Q49" s="3"/>
      <c r="R49" s="3"/>
      <c r="S49" s="3"/>
      <c r="T49" s="3"/>
      <c r="U49" s="3"/>
    </row>
    <row r="50" spans="1:21" ht="14.25" customHeight="1" x14ac:dyDescent="0.35">
      <c r="A50" s="3"/>
      <c r="B50" s="46">
        <v>2019</v>
      </c>
      <c r="C50" s="52">
        <v>0.25</v>
      </c>
      <c r="E50" s="52"/>
      <c r="F50" s="3"/>
      <c r="G50" s="3"/>
      <c r="H50" s="3"/>
      <c r="I50" s="3"/>
      <c r="J50" s="3"/>
      <c r="K50" s="45"/>
      <c r="L50" s="45"/>
      <c r="M50" s="59" t="s">
        <v>60</v>
      </c>
      <c r="N50" s="4">
        <v>-30</v>
      </c>
      <c r="O50" s="3"/>
      <c r="P50" s="3"/>
      <c r="Q50" s="3"/>
      <c r="R50" s="3"/>
      <c r="S50" s="3"/>
      <c r="T50" s="3"/>
      <c r="U50" s="3"/>
    </row>
    <row r="51" spans="1:21" ht="14.25" customHeight="1" x14ac:dyDescent="0.35">
      <c r="A51" s="3"/>
      <c r="B51" s="46">
        <v>2020</v>
      </c>
      <c r="C51" s="56">
        <v>0.2</v>
      </c>
      <c r="E51" s="52"/>
      <c r="F51" s="3"/>
      <c r="G51" s="3"/>
      <c r="H51" s="3"/>
      <c r="I51" s="3"/>
      <c r="J51" s="3"/>
      <c r="K51" s="45"/>
      <c r="L51" s="45"/>
      <c r="M51" s="59" t="s">
        <v>61</v>
      </c>
      <c r="N51" s="4">
        <v>-16</v>
      </c>
      <c r="O51" s="3"/>
      <c r="P51" s="3"/>
      <c r="Q51" s="3"/>
      <c r="R51" s="3"/>
      <c r="S51" s="3"/>
      <c r="T51" s="3"/>
      <c r="U51" s="3"/>
    </row>
    <row r="52" spans="1:21" ht="14.25" customHeight="1" x14ac:dyDescent="0.35">
      <c r="A52" s="3"/>
      <c r="B52" s="93" t="s">
        <v>103</v>
      </c>
      <c r="C52" s="56">
        <v>0.16</v>
      </c>
      <c r="E52" s="52"/>
      <c r="F52" s="3"/>
      <c r="G52" s="3"/>
      <c r="H52" s="3"/>
      <c r="I52" s="3"/>
      <c r="J52" s="3"/>
      <c r="K52" s="45"/>
      <c r="L52" s="45"/>
      <c r="M52" s="59" t="s">
        <v>19</v>
      </c>
      <c r="N52" s="4">
        <v>-10</v>
      </c>
      <c r="O52" s="3"/>
      <c r="P52" s="3"/>
      <c r="Q52" s="3"/>
      <c r="R52" s="3"/>
      <c r="S52" s="3"/>
      <c r="T52" s="3"/>
      <c r="U52" s="3"/>
    </row>
    <row r="53" spans="1:21" ht="14.25" customHeight="1" x14ac:dyDescent="0.35">
      <c r="A53" s="3"/>
      <c r="B53" s="93" t="s">
        <v>104</v>
      </c>
      <c r="C53" s="56">
        <v>0.28999999999999998</v>
      </c>
      <c r="E53" s="52"/>
      <c r="F53" s="3"/>
      <c r="G53" s="3"/>
      <c r="H53" s="3"/>
      <c r="I53" s="3"/>
      <c r="J53" s="3"/>
      <c r="K53" s="45"/>
      <c r="L53" s="45"/>
      <c r="O53" s="3"/>
      <c r="P53" s="3"/>
      <c r="Q53" s="3"/>
      <c r="R53" s="3"/>
      <c r="S53" s="3"/>
      <c r="T53" s="3"/>
      <c r="U53" s="3"/>
    </row>
    <row r="54" spans="1:21" ht="14.25" customHeight="1" x14ac:dyDescent="0.35">
      <c r="A54" s="3"/>
      <c r="B54" s="3"/>
      <c r="C54" s="45"/>
      <c r="D54" s="52"/>
      <c r="E54" s="52"/>
      <c r="F54" s="3"/>
      <c r="G54" s="3"/>
      <c r="H54" s="3"/>
      <c r="I54" s="3"/>
      <c r="J54" s="3"/>
      <c r="K54" s="45"/>
      <c r="L54" s="45"/>
      <c r="M54" s="3"/>
      <c r="N54" s="3"/>
      <c r="O54" s="3"/>
      <c r="P54" s="3"/>
      <c r="Q54" s="3"/>
      <c r="R54" s="3"/>
      <c r="S54" s="3"/>
      <c r="T54" s="3"/>
      <c r="U54" s="3"/>
    </row>
    <row r="55" spans="1:21" ht="14.25" customHeight="1" x14ac:dyDescent="0.35">
      <c r="A55" s="3"/>
      <c r="B55" s="3"/>
      <c r="C55" s="45"/>
      <c r="D55" s="52"/>
      <c r="E55" s="52"/>
      <c r="F55" s="3"/>
      <c r="G55" s="3"/>
      <c r="H55" s="3"/>
      <c r="I55" s="3"/>
      <c r="J55" s="3"/>
      <c r="K55" s="45"/>
      <c r="L55" s="45"/>
      <c r="M55" s="3"/>
      <c r="N55" s="3"/>
      <c r="O55" s="3"/>
      <c r="P55" s="3"/>
      <c r="Q55" s="3"/>
      <c r="R55" s="3"/>
      <c r="S55" s="3"/>
      <c r="T55" s="3"/>
      <c r="U55" s="3"/>
    </row>
    <row r="56" spans="1:21" ht="14.25" customHeight="1" x14ac:dyDescent="0.35">
      <c r="A56" s="3"/>
      <c r="B56" s="3"/>
      <c r="C56" s="45"/>
      <c r="D56" s="52"/>
      <c r="E56" s="52"/>
      <c r="F56" s="3"/>
      <c r="G56" s="3"/>
      <c r="H56" s="3"/>
      <c r="I56" s="3"/>
      <c r="J56" s="3"/>
      <c r="K56" s="45"/>
      <c r="L56" s="45"/>
      <c r="M56" s="3"/>
      <c r="N56" s="3"/>
      <c r="O56" s="3"/>
      <c r="P56" s="3"/>
      <c r="Q56" s="3"/>
      <c r="R56" s="3"/>
      <c r="S56" s="3"/>
      <c r="T56" s="3"/>
      <c r="U56" s="3"/>
    </row>
    <row r="57" spans="1:21" ht="14.25" customHeight="1" x14ac:dyDescent="0.35">
      <c r="A57" s="3"/>
      <c r="B57" s="3"/>
      <c r="C57" s="45"/>
      <c r="D57" s="52"/>
      <c r="E57" s="52"/>
      <c r="F57" s="3"/>
      <c r="G57" s="3"/>
      <c r="H57" s="3"/>
      <c r="I57" s="3"/>
      <c r="J57" s="3"/>
      <c r="K57" s="45"/>
      <c r="L57" s="45"/>
      <c r="M57" s="3"/>
      <c r="N57" s="3"/>
      <c r="O57" s="3"/>
      <c r="P57" s="3"/>
      <c r="Q57" s="3"/>
      <c r="R57" s="3"/>
      <c r="S57" s="3"/>
      <c r="T57" s="3"/>
      <c r="U57" s="3"/>
    </row>
    <row r="58" spans="1:21" ht="14.25" customHeight="1" x14ac:dyDescent="0.35">
      <c r="A58" s="3"/>
      <c r="B58" s="3"/>
      <c r="C58" s="45"/>
      <c r="D58" s="52"/>
      <c r="E58" s="52"/>
      <c r="F58" s="3"/>
      <c r="G58" s="3"/>
      <c r="H58" s="3"/>
      <c r="I58" s="3"/>
      <c r="J58" s="3"/>
      <c r="K58" s="45"/>
      <c r="L58" s="45"/>
      <c r="M58" s="3"/>
      <c r="N58" s="3"/>
      <c r="O58" s="3"/>
      <c r="P58" s="3"/>
      <c r="Q58" s="3"/>
      <c r="R58" s="3"/>
      <c r="S58" s="3"/>
      <c r="T58" s="3"/>
      <c r="U58" s="3"/>
    </row>
    <row r="59" spans="1:21" ht="14.25" customHeight="1" x14ac:dyDescent="0.35">
      <c r="A59" s="3"/>
      <c r="B59" s="3"/>
      <c r="C59" s="45"/>
      <c r="D59" s="52"/>
      <c r="E59" s="52"/>
      <c r="F59" s="3"/>
      <c r="G59" s="3"/>
      <c r="H59" s="3"/>
      <c r="I59" s="3"/>
      <c r="J59" s="3"/>
      <c r="K59" s="45"/>
      <c r="L59" s="45"/>
      <c r="M59" s="3"/>
      <c r="N59" s="3"/>
      <c r="O59" s="3"/>
      <c r="P59" s="3"/>
      <c r="Q59" s="3"/>
      <c r="R59" s="3"/>
      <c r="S59" s="3"/>
      <c r="T59" s="3"/>
      <c r="U59" s="3"/>
    </row>
    <row r="60" spans="1:21" ht="14.25" customHeight="1" x14ac:dyDescent="0.35">
      <c r="A60" s="3"/>
      <c r="B60" s="3"/>
      <c r="C60" s="45"/>
      <c r="D60" s="52"/>
      <c r="E60" s="52"/>
      <c r="F60" s="3"/>
      <c r="G60" s="3"/>
      <c r="H60" s="3"/>
      <c r="I60" s="3"/>
      <c r="J60" s="3"/>
      <c r="K60" s="45"/>
      <c r="L60" s="45"/>
      <c r="M60" s="3"/>
      <c r="N60" s="3"/>
      <c r="O60" s="3"/>
      <c r="P60" s="3"/>
      <c r="Q60" s="3"/>
      <c r="R60" s="3"/>
      <c r="S60" s="3"/>
      <c r="T60" s="3"/>
      <c r="U60" s="3"/>
    </row>
    <row r="61" spans="1:21" ht="14.25" customHeight="1" x14ac:dyDescent="0.35">
      <c r="A61" s="3"/>
      <c r="B61" s="3"/>
      <c r="C61" s="45"/>
      <c r="D61" s="52"/>
      <c r="E61" s="52"/>
      <c r="F61" s="3"/>
      <c r="G61" s="3"/>
      <c r="H61" s="3"/>
      <c r="I61" s="3"/>
      <c r="J61" s="3"/>
      <c r="K61" s="45"/>
      <c r="L61" s="45"/>
      <c r="M61" s="3"/>
      <c r="N61" s="3"/>
      <c r="O61" s="3"/>
      <c r="P61" s="3"/>
      <c r="Q61" s="3"/>
      <c r="R61" s="3"/>
      <c r="S61" s="3"/>
      <c r="T61" s="3"/>
      <c r="U61" s="3"/>
    </row>
    <row r="62" spans="1:21" ht="14.25" customHeight="1" x14ac:dyDescent="0.35">
      <c r="A62" s="3"/>
      <c r="B62" s="3"/>
      <c r="C62" s="45"/>
      <c r="D62" s="52"/>
      <c r="E62" s="52"/>
      <c r="F62" s="3"/>
      <c r="G62" s="3"/>
      <c r="H62" s="3"/>
      <c r="I62" s="3"/>
      <c r="J62" s="3"/>
      <c r="K62" s="45"/>
      <c r="L62" s="45"/>
      <c r="M62" s="3"/>
      <c r="N62" s="3"/>
      <c r="O62" s="3"/>
      <c r="P62" s="3"/>
      <c r="Q62" s="3"/>
      <c r="R62" s="3"/>
      <c r="S62" s="3"/>
      <c r="T62" s="3"/>
      <c r="U62" s="3"/>
    </row>
    <row r="63" spans="1:21" ht="14.25" customHeight="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</row>
    <row r="64" spans="1:21" ht="14.25" customHeight="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</row>
    <row r="65" spans="1:21" s="213" customFormat="1" ht="14.25" customHeight="1" x14ac:dyDescent="0.35">
      <c r="A65" s="215"/>
      <c r="B65" s="160" t="s">
        <v>105</v>
      </c>
      <c r="L65" s="160" t="s">
        <v>106</v>
      </c>
      <c r="U65" s="211"/>
    </row>
    <row r="66" spans="1:21" ht="14.25" customHeight="1" x14ac:dyDescent="0.3">
      <c r="A66" s="6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3"/>
    </row>
    <row r="67" spans="1:21" ht="14.25" customHeight="1" x14ac:dyDescent="0.3">
      <c r="A67" s="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3"/>
    </row>
    <row r="68" spans="1:21" ht="14.25" customHeight="1" x14ac:dyDescent="0.35">
      <c r="A68" s="3"/>
      <c r="B68" s="1" t="s">
        <v>90</v>
      </c>
      <c r="C68" s="50" t="s">
        <v>107</v>
      </c>
      <c r="D68" s="50" t="s">
        <v>108</v>
      </c>
      <c r="G68" s="6"/>
      <c r="H68" s="6"/>
      <c r="I68" s="6"/>
      <c r="J68" s="6"/>
      <c r="K68" s="6"/>
      <c r="L68" s="1" t="s">
        <v>90</v>
      </c>
      <c r="M68" s="50" t="s">
        <v>107</v>
      </c>
      <c r="N68" s="50" t="s">
        <v>108</v>
      </c>
      <c r="P68" s="6"/>
      <c r="Q68" s="6"/>
      <c r="R68" s="6"/>
      <c r="S68" s="6"/>
      <c r="T68" s="6"/>
      <c r="U68" s="3"/>
    </row>
    <row r="69" spans="1:21" ht="14.25" customHeight="1" x14ac:dyDescent="0.35">
      <c r="A69" s="3"/>
      <c r="B69" s="58" t="s">
        <v>55</v>
      </c>
      <c r="C69" s="56">
        <v>7.0000000000000007E-2</v>
      </c>
      <c r="D69" s="56">
        <v>0.09</v>
      </c>
      <c r="G69" s="6"/>
      <c r="H69" s="6"/>
      <c r="I69" s="6"/>
      <c r="J69" s="6"/>
      <c r="K69" s="6"/>
      <c r="L69" s="58" t="s">
        <v>55</v>
      </c>
      <c r="M69" s="52">
        <v>0.1</v>
      </c>
      <c r="N69" s="52">
        <v>0.03</v>
      </c>
      <c r="P69" s="6"/>
      <c r="Q69" s="6"/>
      <c r="R69" s="6"/>
      <c r="S69" s="6"/>
      <c r="T69" s="6"/>
      <c r="U69" s="3"/>
    </row>
    <row r="70" spans="1:21" ht="14.25" customHeight="1" x14ac:dyDescent="0.35">
      <c r="A70" s="3"/>
      <c r="B70" s="59" t="s">
        <v>56</v>
      </c>
      <c r="C70" s="56">
        <v>0.06</v>
      </c>
      <c r="D70" s="56">
        <v>7.0000000000000007E-2</v>
      </c>
      <c r="G70" s="6"/>
      <c r="H70" s="6"/>
      <c r="I70" s="6"/>
      <c r="J70" s="6"/>
      <c r="K70" s="6"/>
      <c r="L70" s="59" t="s">
        <v>56</v>
      </c>
      <c r="M70" s="64">
        <v>0.09</v>
      </c>
      <c r="N70" s="64">
        <v>0.04</v>
      </c>
      <c r="P70" s="6"/>
      <c r="Q70" s="6"/>
      <c r="R70" s="6"/>
      <c r="S70" s="6"/>
      <c r="T70" s="6"/>
      <c r="U70" s="3"/>
    </row>
    <row r="71" spans="1:21" ht="14.25" customHeight="1" x14ac:dyDescent="0.35">
      <c r="A71" s="3"/>
      <c r="B71" s="59" t="s">
        <v>57</v>
      </c>
      <c r="C71" s="56">
        <v>0.03</v>
      </c>
      <c r="D71" s="56">
        <v>0.08</v>
      </c>
      <c r="G71" s="6"/>
      <c r="H71" s="6"/>
      <c r="I71" s="6"/>
      <c r="J71" s="6"/>
      <c r="K71" s="6"/>
      <c r="L71" s="59" t="s">
        <v>57</v>
      </c>
      <c r="M71" s="52">
        <v>0.09</v>
      </c>
      <c r="N71" s="52">
        <v>0.05</v>
      </c>
      <c r="P71" s="6"/>
      <c r="Q71" s="6"/>
      <c r="R71" s="6"/>
      <c r="S71" s="6"/>
      <c r="T71" s="6"/>
      <c r="U71" s="3"/>
    </row>
    <row r="72" spans="1:21" ht="14.25" customHeight="1" x14ac:dyDescent="0.35">
      <c r="A72" s="3"/>
      <c r="B72" s="59" t="s">
        <v>60</v>
      </c>
      <c r="C72" s="56">
        <v>0.03</v>
      </c>
      <c r="D72" s="56">
        <v>0.09</v>
      </c>
      <c r="G72" s="6"/>
      <c r="H72" s="6"/>
      <c r="I72" s="6"/>
      <c r="J72" s="6"/>
      <c r="K72" s="6"/>
      <c r="L72" s="59" t="s">
        <v>60</v>
      </c>
      <c r="M72" s="52">
        <v>7.0000000000000007E-2</v>
      </c>
      <c r="N72" s="52">
        <v>0.05</v>
      </c>
      <c r="P72" s="6"/>
      <c r="Q72" s="6"/>
      <c r="R72" s="6"/>
      <c r="S72" s="6"/>
      <c r="T72" s="6"/>
      <c r="U72" s="3"/>
    </row>
    <row r="73" spans="1:21" ht="14.25" customHeight="1" x14ac:dyDescent="0.35">
      <c r="A73" s="3"/>
      <c r="B73" s="6"/>
      <c r="C73" s="8"/>
      <c r="D73" s="65"/>
      <c r="E73" s="66"/>
      <c r="F73" s="52"/>
      <c r="G73" s="6"/>
      <c r="H73" s="6"/>
      <c r="I73" s="6"/>
      <c r="J73" s="6"/>
      <c r="K73" s="6"/>
      <c r="L73" s="59" t="s">
        <v>61</v>
      </c>
      <c r="M73" s="52">
        <v>7.0000000000000007E-2</v>
      </c>
      <c r="N73" s="52">
        <v>0.06</v>
      </c>
      <c r="P73" s="6"/>
      <c r="Q73" s="6"/>
      <c r="R73" s="6"/>
      <c r="S73" s="6"/>
      <c r="T73" s="6"/>
      <c r="U73" s="3"/>
    </row>
    <row r="74" spans="1:21" ht="14.25" customHeight="1" x14ac:dyDescent="0.35">
      <c r="A74" s="3"/>
      <c r="B74" s="6"/>
      <c r="C74" s="8"/>
      <c r="D74" s="67"/>
      <c r="F74" s="67"/>
      <c r="G74" s="6"/>
      <c r="H74" s="6"/>
      <c r="I74" s="6"/>
      <c r="J74" s="6"/>
      <c r="K74" s="6"/>
      <c r="L74" s="59" t="s">
        <v>64</v>
      </c>
      <c r="M74" s="52">
        <v>0.08</v>
      </c>
      <c r="N74" s="52">
        <v>0.06</v>
      </c>
      <c r="P74" s="6"/>
      <c r="Q74" s="6"/>
      <c r="R74" s="6"/>
      <c r="S74" s="6"/>
      <c r="T74" s="6"/>
      <c r="U74" s="3"/>
    </row>
    <row r="75" spans="1:21" ht="14.25" customHeight="1" x14ac:dyDescent="0.35">
      <c r="A75" s="3"/>
      <c r="B75" s="6"/>
      <c r="C75" s="8"/>
      <c r="D75" s="52"/>
      <c r="F75" s="52"/>
      <c r="G75" s="6"/>
      <c r="H75" s="6"/>
      <c r="I75" s="6"/>
      <c r="J75" s="6"/>
      <c r="K75" s="6"/>
      <c r="L75" s="59" t="s">
        <v>65</v>
      </c>
      <c r="M75" s="52">
        <v>7.0000000000000007E-2</v>
      </c>
      <c r="N75" s="52">
        <v>7.0000000000000007E-2</v>
      </c>
      <c r="P75" s="6"/>
      <c r="Q75" s="6"/>
      <c r="R75" s="6"/>
      <c r="S75" s="6"/>
      <c r="T75" s="6"/>
      <c r="U75" s="3"/>
    </row>
    <row r="76" spans="1:21" ht="14.25" customHeight="1" x14ac:dyDescent="0.35">
      <c r="A76" s="3"/>
      <c r="B76" s="6"/>
      <c r="F76" s="6"/>
      <c r="G76" s="6"/>
      <c r="H76" s="6"/>
      <c r="I76" s="6"/>
      <c r="J76" s="6"/>
      <c r="K76" s="6"/>
      <c r="L76" s="59" t="s">
        <v>66</v>
      </c>
      <c r="M76" s="52">
        <v>7.0000000000000007E-2</v>
      </c>
      <c r="N76" s="52">
        <v>7.0000000000000007E-2</v>
      </c>
      <c r="P76" s="6"/>
      <c r="Q76" s="6"/>
      <c r="R76" s="6"/>
      <c r="S76" s="6"/>
      <c r="T76" s="6"/>
      <c r="U76" s="3"/>
    </row>
    <row r="77" spans="1:21" ht="14.25" customHeight="1" x14ac:dyDescent="0.35">
      <c r="A77" s="3"/>
      <c r="B77" s="6"/>
      <c r="F77" s="6"/>
      <c r="G77" s="6"/>
      <c r="H77" s="6"/>
      <c r="I77" s="6"/>
      <c r="J77" s="6"/>
      <c r="K77" s="6"/>
      <c r="L77" s="8"/>
      <c r="M77" s="52"/>
      <c r="N77" s="52"/>
      <c r="O77" s="6"/>
      <c r="P77" s="6"/>
      <c r="Q77" s="6"/>
      <c r="R77" s="6"/>
      <c r="S77" s="6"/>
      <c r="T77" s="6"/>
      <c r="U77" s="3"/>
    </row>
    <row r="78" spans="1:21" ht="14.25" customHeight="1" x14ac:dyDescent="0.35">
      <c r="A78" s="3"/>
      <c r="B78" s="6"/>
      <c r="F78" s="6"/>
      <c r="G78" s="6"/>
      <c r="H78" s="6"/>
      <c r="I78" s="6"/>
      <c r="J78" s="6"/>
      <c r="K78" s="6"/>
      <c r="L78" s="8"/>
      <c r="M78" s="52"/>
      <c r="N78" s="52"/>
      <c r="O78" s="6"/>
      <c r="P78" s="6"/>
      <c r="Q78" s="6"/>
      <c r="R78" s="6"/>
      <c r="S78" s="6"/>
      <c r="T78" s="6"/>
      <c r="U78" s="3"/>
    </row>
    <row r="79" spans="1:21" ht="14.25" customHeight="1" x14ac:dyDescent="0.35">
      <c r="A79" s="3"/>
      <c r="B79" s="6"/>
      <c r="C79" s="6"/>
      <c r="D79" s="6"/>
      <c r="E79" s="6"/>
      <c r="F79" s="6"/>
      <c r="G79" s="6"/>
      <c r="H79" s="6"/>
      <c r="I79" s="6"/>
      <c r="J79" s="6"/>
      <c r="K79" s="6"/>
      <c r="L79" s="8"/>
      <c r="M79" s="52"/>
      <c r="N79" s="52"/>
      <c r="O79" s="6"/>
      <c r="P79" s="6"/>
      <c r="Q79" s="6"/>
      <c r="R79" s="6"/>
      <c r="S79" s="6"/>
      <c r="T79" s="6"/>
      <c r="U79" s="3"/>
    </row>
    <row r="80" spans="1:21" ht="14.25" customHeight="1" x14ac:dyDescent="0.35">
      <c r="A80" s="3"/>
      <c r="B80" s="6"/>
      <c r="C80" s="6"/>
      <c r="D80" s="6"/>
      <c r="E80" s="6"/>
      <c r="F80" s="6"/>
      <c r="G80" s="6"/>
      <c r="H80" s="6"/>
      <c r="I80" s="6"/>
      <c r="J80" s="6"/>
      <c r="K80" s="6"/>
      <c r="L80" s="8"/>
      <c r="M80" s="52"/>
      <c r="N80" s="52"/>
      <c r="O80" s="6"/>
      <c r="P80" s="6"/>
      <c r="Q80" s="6"/>
      <c r="R80" s="6"/>
      <c r="S80" s="6"/>
      <c r="T80" s="6"/>
      <c r="U80" s="3"/>
    </row>
    <row r="81" spans="1:21" ht="14.25" customHeight="1" x14ac:dyDescent="0.35">
      <c r="A81" s="3"/>
      <c r="B81" s="6"/>
      <c r="C81" s="6"/>
      <c r="D81" s="6"/>
      <c r="E81" s="6"/>
      <c r="F81" s="6"/>
      <c r="G81" s="6"/>
      <c r="H81" s="6"/>
      <c r="I81" s="6"/>
      <c r="J81" s="6"/>
      <c r="K81" s="6"/>
      <c r="L81" s="8"/>
      <c r="M81" s="52"/>
      <c r="N81" s="52"/>
      <c r="O81" s="6"/>
      <c r="P81" s="6"/>
      <c r="Q81" s="6"/>
      <c r="R81" s="6"/>
      <c r="S81" s="6"/>
      <c r="T81" s="6"/>
      <c r="U81" s="3"/>
    </row>
    <row r="82" spans="1:21" ht="14.25" customHeight="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</row>
    <row r="83" spans="1:21" ht="14.25" customHeight="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</row>
    <row r="84" spans="1:21" ht="14.25" customHeight="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</row>
    <row r="85" spans="1:21" ht="14.25" customHeight="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</row>
    <row r="86" spans="1:21" ht="14.25" customHeight="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</row>
    <row r="87" spans="1:21" ht="14.25" customHeight="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</row>
    <row r="88" spans="1:21" ht="14.25" customHeight="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</row>
    <row r="89" spans="1:21" ht="14.25" customHeight="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</row>
    <row r="90" spans="1:21" ht="14.25" customHeight="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</row>
    <row r="91" spans="1:21" ht="14.25" customHeight="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</row>
    <row r="92" spans="1:21" s="213" customFormat="1" ht="14.25" customHeight="1" x14ac:dyDescent="0.35">
      <c r="A92" s="211"/>
      <c r="B92" s="160" t="s">
        <v>109</v>
      </c>
      <c r="C92" s="211"/>
      <c r="D92" s="211"/>
      <c r="E92" s="211"/>
      <c r="F92" s="211"/>
      <c r="G92" s="211"/>
      <c r="H92" s="211"/>
      <c r="I92" s="211"/>
      <c r="J92" s="211"/>
      <c r="K92" s="211"/>
      <c r="L92" s="160" t="s">
        <v>110</v>
      </c>
      <c r="M92" s="211"/>
      <c r="N92" s="211"/>
      <c r="O92" s="211"/>
      <c r="P92" s="211"/>
      <c r="Q92" s="211"/>
      <c r="R92" s="211"/>
      <c r="S92" s="211"/>
      <c r="T92" s="211"/>
      <c r="U92" s="211"/>
    </row>
    <row r="93" spans="1:21" ht="14.25" customHeight="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</row>
    <row r="94" spans="1:21" ht="14.25" customHeight="1" x14ac:dyDescent="0.35">
      <c r="A94" s="3"/>
      <c r="B94" s="3"/>
      <c r="C94" s="3"/>
      <c r="D94" s="3"/>
      <c r="E94" s="3"/>
      <c r="F94" s="3"/>
      <c r="G94" s="3"/>
      <c r="H94" s="3"/>
      <c r="I94" s="3"/>
      <c r="J94" s="3"/>
      <c r="K94" s="45"/>
      <c r="L94" s="45"/>
      <c r="M94" s="45"/>
      <c r="N94" s="45"/>
      <c r="O94" s="3"/>
      <c r="P94" s="3"/>
      <c r="Q94" s="3"/>
      <c r="R94" s="3"/>
      <c r="S94" s="3"/>
      <c r="T94" s="3"/>
      <c r="U94" s="3"/>
    </row>
    <row r="95" spans="1:21" ht="14.25" customHeight="1" x14ac:dyDescent="0.35">
      <c r="A95" s="3"/>
      <c r="B95" s="45" t="s">
        <v>90</v>
      </c>
      <c r="C95" s="50" t="s">
        <v>107</v>
      </c>
      <c r="D95" s="50" t="s">
        <v>108</v>
      </c>
      <c r="F95" s="3"/>
      <c r="G95" s="3"/>
      <c r="H95" s="3"/>
      <c r="I95" s="3"/>
      <c r="J95" s="3"/>
      <c r="K95" s="45"/>
      <c r="L95" s="45" t="s">
        <v>90</v>
      </c>
      <c r="M95" s="50" t="s">
        <v>107</v>
      </c>
      <c r="N95" s="50" t="s">
        <v>108</v>
      </c>
      <c r="O95" s="3"/>
      <c r="P95" s="3"/>
      <c r="Q95" s="3"/>
      <c r="R95" s="3"/>
      <c r="S95" s="3"/>
      <c r="T95" s="3"/>
      <c r="U95" s="3"/>
    </row>
    <row r="96" spans="1:21" ht="14.25" customHeight="1" x14ac:dyDescent="0.35">
      <c r="A96" s="3"/>
      <c r="B96" s="58" t="s">
        <v>55</v>
      </c>
      <c r="C96" s="52">
        <v>0.08</v>
      </c>
      <c r="D96" s="52">
        <v>0.06</v>
      </c>
      <c r="F96" s="3"/>
      <c r="G96" s="3"/>
      <c r="H96" s="3"/>
      <c r="I96" s="3"/>
      <c r="J96" s="3"/>
      <c r="K96" s="45"/>
      <c r="L96" s="58" t="s">
        <v>55</v>
      </c>
      <c r="M96" s="7">
        <v>0.1</v>
      </c>
      <c r="N96" s="7">
        <v>0.03</v>
      </c>
      <c r="O96" s="3"/>
      <c r="P96" s="3"/>
      <c r="Q96" s="3"/>
      <c r="R96" s="3"/>
      <c r="S96" s="3"/>
      <c r="T96" s="3"/>
      <c r="U96" s="3"/>
    </row>
    <row r="97" spans="1:21" ht="14.25" customHeight="1" x14ac:dyDescent="0.35">
      <c r="A97" s="3"/>
      <c r="B97" s="58" t="s">
        <v>56</v>
      </c>
      <c r="C97" s="52">
        <v>7.0000000000000007E-2</v>
      </c>
      <c r="D97" s="52">
        <v>7.0000000000000007E-2</v>
      </c>
      <c r="F97" s="3"/>
      <c r="G97" s="3"/>
      <c r="H97" s="3"/>
      <c r="I97" s="3"/>
      <c r="J97" s="3"/>
      <c r="K97" s="45"/>
      <c r="L97" s="58" t="s">
        <v>56</v>
      </c>
      <c r="M97" s="64">
        <v>0.09</v>
      </c>
      <c r="N97" s="64">
        <v>0.04</v>
      </c>
      <c r="O97" s="3"/>
      <c r="P97" s="3"/>
      <c r="Q97" s="3"/>
      <c r="R97" s="3"/>
      <c r="S97" s="3"/>
      <c r="T97" s="3"/>
      <c r="U97" s="3"/>
    </row>
    <row r="98" spans="1:21" ht="14.25" customHeight="1" x14ac:dyDescent="0.35">
      <c r="A98" s="3"/>
      <c r="B98" s="58" t="s">
        <v>57</v>
      </c>
      <c r="C98" s="52">
        <v>7.0000000000000007E-2</v>
      </c>
      <c r="D98" s="52">
        <v>7.0000000000000007E-2</v>
      </c>
      <c r="F98" s="3"/>
      <c r="G98" s="3"/>
      <c r="H98" s="3"/>
      <c r="I98" s="3"/>
      <c r="J98" s="3"/>
      <c r="K98" s="45"/>
      <c r="L98" s="58" t="s">
        <v>57</v>
      </c>
      <c r="M98" s="7">
        <v>0.09</v>
      </c>
      <c r="N98" s="7">
        <v>0.05</v>
      </c>
      <c r="O98" s="3"/>
      <c r="P98" s="3"/>
      <c r="Q98" s="3"/>
      <c r="R98" s="3"/>
      <c r="S98" s="3"/>
      <c r="T98" s="3"/>
      <c r="U98" s="3"/>
    </row>
    <row r="99" spans="1:21" ht="14.25" customHeight="1" x14ac:dyDescent="0.35">
      <c r="A99" s="3"/>
      <c r="B99" s="58" t="s">
        <v>60</v>
      </c>
      <c r="C99" s="52">
        <v>0.06</v>
      </c>
      <c r="D99" s="52">
        <v>0.09</v>
      </c>
      <c r="F99" s="3"/>
      <c r="G99" s="3"/>
      <c r="H99" s="3"/>
      <c r="I99" s="3"/>
      <c r="J99" s="3"/>
      <c r="K99" s="45"/>
      <c r="L99" s="58" t="s">
        <v>60</v>
      </c>
      <c r="M99" s="7">
        <v>7.0000000000000007E-2</v>
      </c>
      <c r="N99" s="7">
        <v>0.05</v>
      </c>
      <c r="O99" s="3"/>
      <c r="P99" s="3"/>
      <c r="Q99" s="3"/>
      <c r="R99" s="3"/>
      <c r="S99" s="3"/>
      <c r="T99" s="3"/>
      <c r="U99" s="3"/>
    </row>
    <row r="100" spans="1:21" ht="14.25" customHeight="1" x14ac:dyDescent="0.35">
      <c r="A100" s="3"/>
      <c r="B100" s="58" t="s">
        <v>61</v>
      </c>
      <c r="C100" s="52">
        <v>0.06</v>
      </c>
      <c r="D100" s="52">
        <v>0.08</v>
      </c>
      <c r="F100" s="3"/>
      <c r="G100" s="3"/>
      <c r="H100" s="3"/>
      <c r="I100" s="3"/>
      <c r="J100" s="3"/>
      <c r="K100" s="45"/>
      <c r="L100" s="58" t="s">
        <v>61</v>
      </c>
      <c r="M100" s="52">
        <v>7.0000000000000007E-2</v>
      </c>
      <c r="N100" s="52">
        <v>0.06</v>
      </c>
      <c r="O100" s="3"/>
      <c r="P100" s="3"/>
      <c r="Q100" s="3"/>
      <c r="R100" s="3"/>
      <c r="S100" s="3"/>
      <c r="T100" s="3"/>
      <c r="U100" s="3"/>
    </row>
    <row r="101" spans="1:21" ht="14.25" customHeight="1" x14ac:dyDescent="0.35">
      <c r="A101" s="3"/>
      <c r="B101" s="58" t="s">
        <v>64</v>
      </c>
      <c r="C101" s="52">
        <v>7.0000000000000007E-2</v>
      </c>
      <c r="D101" s="52">
        <v>0.08</v>
      </c>
      <c r="F101" s="3"/>
      <c r="G101" s="3"/>
      <c r="H101" s="3"/>
      <c r="I101" s="3"/>
      <c r="J101" s="3"/>
      <c r="K101" s="45"/>
      <c r="L101" s="58" t="s">
        <v>64</v>
      </c>
      <c r="M101" s="52">
        <v>0.08</v>
      </c>
      <c r="N101" s="52">
        <v>0.06</v>
      </c>
      <c r="O101" s="3"/>
      <c r="P101" s="3"/>
      <c r="Q101" s="3"/>
      <c r="R101" s="3"/>
      <c r="S101" s="3"/>
      <c r="T101" s="3"/>
      <c r="U101" s="3"/>
    </row>
    <row r="102" spans="1:21" ht="14.25" customHeight="1" x14ac:dyDescent="0.35">
      <c r="A102" s="3"/>
      <c r="B102" s="58" t="s">
        <v>65</v>
      </c>
      <c r="C102" s="52">
        <v>7.0000000000000007E-2</v>
      </c>
      <c r="D102" s="52">
        <v>0.09</v>
      </c>
      <c r="F102" s="3"/>
      <c r="G102" s="3"/>
      <c r="H102" s="3"/>
      <c r="I102" s="3"/>
      <c r="J102" s="3"/>
      <c r="K102" s="45"/>
      <c r="L102" s="58" t="s">
        <v>65</v>
      </c>
      <c r="M102" s="52">
        <v>7.0000000000000007E-2</v>
      </c>
      <c r="N102" s="52">
        <v>7.0000000000000007E-2</v>
      </c>
      <c r="O102" s="3"/>
      <c r="P102" s="3"/>
      <c r="Q102" s="3"/>
      <c r="R102" s="3"/>
      <c r="S102" s="3"/>
      <c r="T102" s="3"/>
      <c r="U102" s="3"/>
    </row>
    <row r="103" spans="1:21" ht="14.25" customHeight="1" x14ac:dyDescent="0.35">
      <c r="A103" s="3"/>
      <c r="B103" s="58" t="s">
        <v>66</v>
      </c>
      <c r="C103" s="52">
        <v>0.06</v>
      </c>
      <c r="D103" s="52">
        <v>7.0000000000000007E-2</v>
      </c>
      <c r="F103" s="3"/>
      <c r="G103" s="3"/>
      <c r="H103" s="3"/>
      <c r="I103" s="3"/>
      <c r="J103" s="3"/>
      <c r="K103" s="45"/>
      <c r="L103" s="58" t="s">
        <v>66</v>
      </c>
      <c r="M103" s="52">
        <v>7.0000000000000007E-2</v>
      </c>
      <c r="N103" s="52">
        <v>7.0000000000000007E-2</v>
      </c>
      <c r="O103" s="3"/>
      <c r="P103" s="3"/>
      <c r="Q103" s="3"/>
      <c r="R103" s="3"/>
      <c r="S103" s="3"/>
      <c r="T103" s="3"/>
      <c r="U103" s="3"/>
    </row>
    <row r="104" spans="1:21" ht="14.25" customHeight="1" x14ac:dyDescent="0.35">
      <c r="A104" s="3"/>
      <c r="B104" s="58" t="s">
        <v>69</v>
      </c>
      <c r="C104" s="52">
        <v>0.03</v>
      </c>
      <c r="D104" s="52">
        <v>0.08</v>
      </c>
      <c r="F104" s="3"/>
      <c r="G104" s="3"/>
      <c r="H104" s="3"/>
      <c r="I104" s="3"/>
      <c r="J104" s="3"/>
      <c r="K104" s="45"/>
      <c r="L104" s="58" t="s">
        <v>69</v>
      </c>
      <c r="M104" s="52">
        <v>0.06</v>
      </c>
      <c r="N104" s="52">
        <v>0.09</v>
      </c>
      <c r="O104" s="3"/>
      <c r="P104" s="3"/>
      <c r="Q104" s="3"/>
      <c r="R104" s="3"/>
      <c r="S104" s="3"/>
      <c r="T104" s="3"/>
      <c r="U104" s="3"/>
    </row>
    <row r="105" spans="1:21" ht="14.25" customHeight="1" x14ac:dyDescent="0.35">
      <c r="A105" s="3"/>
      <c r="B105" s="58" t="s">
        <v>70</v>
      </c>
      <c r="C105" s="52">
        <v>0.03</v>
      </c>
      <c r="D105" s="52">
        <v>0.09</v>
      </c>
      <c r="F105" s="3"/>
      <c r="G105" s="3"/>
      <c r="H105" s="3"/>
      <c r="I105" s="3"/>
      <c r="J105" s="3"/>
      <c r="K105" s="3"/>
      <c r="L105" s="58" t="s">
        <v>70</v>
      </c>
      <c r="M105" s="52">
        <v>0.06</v>
      </c>
      <c r="N105" s="52">
        <v>0.08</v>
      </c>
      <c r="O105" s="3"/>
      <c r="P105" s="3"/>
      <c r="Q105" s="3"/>
      <c r="R105" s="3"/>
      <c r="S105" s="3"/>
      <c r="T105" s="3"/>
      <c r="U105" s="3"/>
    </row>
    <row r="106" spans="1:21" ht="14.25" customHeight="1" x14ac:dyDescent="0.35">
      <c r="A106" s="3"/>
      <c r="B106" s="3"/>
      <c r="C106" s="100"/>
      <c r="D106" s="100"/>
      <c r="F106" s="3"/>
      <c r="G106" s="3"/>
      <c r="H106" s="3"/>
      <c r="I106" s="3"/>
      <c r="J106" s="3"/>
      <c r="K106" s="3"/>
      <c r="L106" s="58" t="s">
        <v>71</v>
      </c>
      <c r="M106" s="52">
        <v>7.0000000000000007E-2</v>
      </c>
      <c r="N106" s="52">
        <v>0.08</v>
      </c>
      <c r="O106" s="3"/>
      <c r="P106" s="3"/>
      <c r="Q106" s="3"/>
      <c r="R106" s="3"/>
      <c r="S106" s="3"/>
      <c r="T106" s="3"/>
      <c r="U106" s="3"/>
    </row>
    <row r="107" spans="1:21" ht="14.25" customHeight="1" x14ac:dyDescent="0.35">
      <c r="A107" s="3"/>
      <c r="B107" s="3"/>
      <c r="F107" s="3"/>
      <c r="G107" s="3"/>
      <c r="H107" s="3"/>
      <c r="I107" s="3"/>
      <c r="J107" s="3"/>
      <c r="K107" s="3"/>
      <c r="L107" s="58" t="s">
        <v>72</v>
      </c>
      <c r="M107" s="52">
        <v>7.0000000000000007E-2</v>
      </c>
      <c r="N107" s="52">
        <v>0.09</v>
      </c>
      <c r="O107" s="3"/>
      <c r="P107" s="3"/>
      <c r="Q107" s="3"/>
      <c r="R107" s="3"/>
      <c r="S107" s="3"/>
      <c r="T107" s="3"/>
      <c r="U107" s="3"/>
    </row>
    <row r="108" spans="1:21" ht="14.25" customHeight="1" x14ac:dyDescent="0.35">
      <c r="A108" s="3"/>
      <c r="B108" s="3"/>
      <c r="F108" s="3"/>
      <c r="G108" s="3"/>
      <c r="H108" s="3"/>
      <c r="I108" s="3"/>
      <c r="J108" s="3"/>
      <c r="K108" s="3"/>
      <c r="L108" s="58" t="s">
        <v>73</v>
      </c>
      <c r="M108" s="52">
        <v>0.06</v>
      </c>
      <c r="N108" s="52">
        <v>7.0000000000000007E-2</v>
      </c>
      <c r="O108" s="3"/>
      <c r="P108" s="3"/>
      <c r="Q108" s="3"/>
      <c r="R108" s="3"/>
      <c r="S108" s="3"/>
      <c r="T108" s="3"/>
      <c r="U108" s="3"/>
    </row>
    <row r="109" spans="1:21" ht="14.25" customHeight="1" x14ac:dyDescent="0.35">
      <c r="A109" s="3"/>
      <c r="B109" s="3"/>
      <c r="F109" s="3"/>
      <c r="G109" s="3"/>
      <c r="H109" s="3"/>
      <c r="I109" s="3"/>
      <c r="J109" s="3"/>
      <c r="K109" s="3"/>
      <c r="L109" s="58" t="s">
        <v>74</v>
      </c>
      <c r="M109" s="52">
        <v>0.03</v>
      </c>
      <c r="N109" s="52">
        <v>0.08</v>
      </c>
      <c r="O109" s="3"/>
      <c r="P109" s="3"/>
      <c r="Q109" s="3"/>
      <c r="R109" s="3"/>
      <c r="S109" s="3"/>
      <c r="T109" s="3"/>
      <c r="U109" s="3"/>
    </row>
    <row r="110" spans="1:21" ht="14.25" customHeight="1" x14ac:dyDescent="0.35">
      <c r="A110" s="3"/>
      <c r="B110" s="3"/>
      <c r="F110" s="3"/>
      <c r="G110" s="3"/>
      <c r="H110" s="3"/>
      <c r="I110" s="3"/>
      <c r="J110" s="3"/>
      <c r="K110" s="3"/>
      <c r="L110" s="58" t="s">
        <v>111</v>
      </c>
      <c r="M110" s="52">
        <v>0.03</v>
      </c>
      <c r="N110" s="52">
        <v>0.09</v>
      </c>
      <c r="O110" s="3"/>
      <c r="P110" s="3"/>
      <c r="Q110" s="3"/>
      <c r="R110" s="3"/>
      <c r="S110" s="3"/>
      <c r="T110" s="3"/>
      <c r="U110" s="3"/>
    </row>
    <row r="111" spans="1:21" ht="14.25" customHeight="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</row>
    <row r="112" spans="1:21" ht="14.25" customHeight="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</row>
    <row r="113" spans="12:14" ht="15.75" customHeight="1" x14ac:dyDescent="0.3">
      <c r="L113" s="100"/>
      <c r="M113" s="100"/>
      <c r="N113" s="100"/>
    </row>
  </sheetData>
  <pageMargins left="0.7" right="0.7" top="0.75" bottom="0.75" header="0" footer="0"/>
  <pageSetup paperSize="9" orientation="portrait" r:id="rId1"/>
  <ignoredErrors>
    <ignoredError sqref="C68:D68 M68:N68 M95:N95 C95:D95" numberStoredAsText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 summaryRight="0"/>
  </sheetPr>
  <dimension ref="A1:AD109"/>
  <sheetViews>
    <sheetView showGridLines="0" topLeftCell="L50" zoomScaleNormal="100" workbookViewId="0">
      <selection activeCell="AI38" sqref="AI38"/>
    </sheetView>
  </sheetViews>
  <sheetFormatPr baseColWidth="10" defaultColWidth="12.4609375" defaultRowHeight="15.75" customHeight="1" x14ac:dyDescent="0.3"/>
  <cols>
    <col min="1" max="1" width="7" customWidth="1"/>
    <col min="2" max="2" width="10.4609375" customWidth="1"/>
    <col min="3" max="3" width="7.4609375" customWidth="1"/>
    <col min="4" max="30" width="10.4609375" customWidth="1"/>
  </cols>
  <sheetData>
    <row r="1" spans="1:30" ht="14.25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ht="14.2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1:30" ht="14.25" customHeight="1" x14ac:dyDescent="0.3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25" t="s">
        <v>112</v>
      </c>
      <c r="V3" s="3"/>
      <c r="W3" s="3"/>
      <c r="X3" s="3"/>
      <c r="Y3" s="3"/>
      <c r="Z3" s="3"/>
      <c r="AA3" s="3"/>
      <c r="AB3" s="3"/>
      <c r="AC3" s="3"/>
      <c r="AD3" s="3"/>
    </row>
    <row r="4" spans="1:30" s="213" customFormat="1" ht="14.25" customHeight="1" x14ac:dyDescent="0.35">
      <c r="A4" s="211"/>
      <c r="B4" s="160" t="s">
        <v>113</v>
      </c>
      <c r="C4" s="211"/>
      <c r="E4" s="211"/>
      <c r="F4" s="211"/>
      <c r="G4" s="211"/>
      <c r="H4" s="211"/>
      <c r="I4" s="211"/>
      <c r="J4" s="211"/>
      <c r="K4" s="160" t="s">
        <v>114</v>
      </c>
      <c r="L4" s="211"/>
      <c r="M4" s="211"/>
      <c r="N4" s="211"/>
      <c r="O4" s="211"/>
      <c r="P4" s="211"/>
      <c r="Q4" s="211"/>
      <c r="U4" s="212" t="s">
        <v>90</v>
      </c>
      <c r="V4" s="216" t="s">
        <v>55</v>
      </c>
      <c r="W4" s="216" t="s">
        <v>56</v>
      </c>
      <c r="X4" s="216" t="s">
        <v>57</v>
      </c>
      <c r="Y4" s="211"/>
      <c r="Z4" s="211"/>
      <c r="AA4" s="211"/>
      <c r="AB4" s="211"/>
      <c r="AC4" s="211"/>
      <c r="AD4" s="211"/>
    </row>
    <row r="5" spans="1:30" s="100" customFormat="1" ht="14.25" customHeight="1" x14ac:dyDescent="0.35">
      <c r="A5" s="3"/>
      <c r="B5" s="45" t="s">
        <v>90</v>
      </c>
      <c r="C5" s="68" t="s">
        <v>55</v>
      </c>
      <c r="E5" s="68"/>
      <c r="F5" s="3"/>
      <c r="G5" s="3"/>
      <c r="H5" s="3"/>
      <c r="I5" s="3"/>
      <c r="J5" s="3"/>
      <c r="K5" s="45" t="s">
        <v>90</v>
      </c>
      <c r="L5" s="68" t="s">
        <v>55</v>
      </c>
      <c r="M5" s="68" t="s">
        <v>56</v>
      </c>
      <c r="N5" s="68"/>
      <c r="O5" s="3"/>
      <c r="P5" s="3"/>
      <c r="Q5" s="3"/>
      <c r="U5" s="69" t="s">
        <v>115</v>
      </c>
      <c r="V5" s="70">
        <v>3988.3713124787</v>
      </c>
      <c r="W5" s="70">
        <v>6052</v>
      </c>
      <c r="X5" s="70">
        <v>400</v>
      </c>
      <c r="Y5" s="3"/>
      <c r="Z5" s="3"/>
      <c r="AA5" s="3"/>
      <c r="AB5" s="3"/>
      <c r="AC5" s="3"/>
      <c r="AD5" s="3"/>
    </row>
    <row r="6" spans="1:30" s="100" customFormat="1" ht="14.25" customHeight="1" x14ac:dyDescent="0.35">
      <c r="A6" s="3"/>
      <c r="B6" s="69" t="s">
        <v>115</v>
      </c>
      <c r="C6" s="70">
        <v>3988.3713124787</v>
      </c>
      <c r="E6" s="70"/>
      <c r="F6" s="3"/>
      <c r="G6" s="3"/>
      <c r="H6" s="3"/>
      <c r="I6" s="3"/>
      <c r="J6" s="3"/>
      <c r="K6" s="69" t="s">
        <v>115</v>
      </c>
      <c r="L6" s="70">
        <v>3988.3713124787</v>
      </c>
      <c r="M6" s="70">
        <v>6052</v>
      </c>
      <c r="N6" s="70"/>
      <c r="O6" s="3"/>
      <c r="P6" s="3"/>
      <c r="Q6" s="3"/>
      <c r="U6" s="69" t="s">
        <v>116</v>
      </c>
      <c r="V6" s="70">
        <v>4140.6611174961999</v>
      </c>
      <c r="W6" s="70">
        <v>5568</v>
      </c>
      <c r="X6" s="70">
        <v>1000</v>
      </c>
      <c r="Y6" s="3"/>
      <c r="Z6" s="3"/>
      <c r="AA6" s="3"/>
      <c r="AB6" s="3"/>
      <c r="AC6" s="3"/>
      <c r="AD6" s="3"/>
    </row>
    <row r="7" spans="1:30" s="100" customFormat="1" ht="14.25" customHeight="1" x14ac:dyDescent="0.35">
      <c r="A7" s="3"/>
      <c r="B7" s="69" t="s">
        <v>116</v>
      </c>
      <c r="C7" s="70">
        <v>4140.6611174961999</v>
      </c>
      <c r="E7" s="70"/>
      <c r="F7" s="3"/>
      <c r="G7" s="3"/>
      <c r="H7" s="3"/>
      <c r="I7" s="3"/>
      <c r="J7" s="3"/>
      <c r="K7" s="69" t="s">
        <v>116</v>
      </c>
      <c r="L7" s="70">
        <v>4140.6611174961999</v>
      </c>
      <c r="M7" s="70">
        <v>5568</v>
      </c>
      <c r="N7" s="70"/>
      <c r="O7" s="3"/>
      <c r="P7" s="3"/>
      <c r="Q7" s="3"/>
      <c r="U7" s="1" t="s">
        <v>117</v>
      </c>
      <c r="V7" s="70">
        <v>4216.8445622378003</v>
      </c>
      <c r="W7" s="70">
        <v>5830</v>
      </c>
      <c r="X7" s="70">
        <v>1500</v>
      </c>
      <c r="Y7" s="3"/>
      <c r="Z7" s="3"/>
      <c r="AA7" s="3"/>
      <c r="AB7" s="3"/>
      <c r="AC7" s="3"/>
      <c r="AD7" s="3"/>
    </row>
    <row r="8" spans="1:30" s="100" customFormat="1" ht="14.25" customHeight="1" x14ac:dyDescent="0.35">
      <c r="A8" s="3"/>
      <c r="B8" s="1" t="s">
        <v>117</v>
      </c>
      <c r="C8" s="70">
        <v>4216.8445622378003</v>
      </c>
      <c r="E8" s="70"/>
      <c r="F8" s="3"/>
      <c r="G8" s="3"/>
      <c r="H8" s="3"/>
      <c r="I8" s="3"/>
      <c r="J8" s="3"/>
      <c r="K8" s="1" t="s">
        <v>117</v>
      </c>
      <c r="L8" s="70">
        <v>4216.8445622378003</v>
      </c>
      <c r="M8" s="70">
        <v>5830</v>
      </c>
      <c r="N8" s="70"/>
      <c r="O8" s="3"/>
      <c r="P8" s="3"/>
      <c r="Q8" s="3"/>
      <c r="U8" s="1" t="s">
        <v>118</v>
      </c>
      <c r="V8" s="70">
        <v>4121.2417658474005</v>
      </c>
      <c r="W8" s="70">
        <v>5752</v>
      </c>
      <c r="X8" s="70">
        <v>1153.9614945781</v>
      </c>
      <c r="Y8" s="3"/>
      <c r="Z8" s="3"/>
      <c r="AA8" s="3"/>
      <c r="AB8" s="3"/>
      <c r="AC8" s="3"/>
      <c r="AD8" s="3"/>
    </row>
    <row r="9" spans="1:30" s="100" customFormat="1" ht="14.25" customHeight="1" x14ac:dyDescent="0.35">
      <c r="A9" s="3"/>
      <c r="B9" s="1" t="s">
        <v>118</v>
      </c>
      <c r="C9" s="70">
        <v>4121.2417658474005</v>
      </c>
      <c r="E9" s="70"/>
      <c r="F9" s="3"/>
      <c r="G9" s="3"/>
      <c r="H9" s="3"/>
      <c r="I9" s="3"/>
      <c r="J9" s="3"/>
      <c r="K9" s="1" t="s">
        <v>118</v>
      </c>
      <c r="L9" s="70">
        <v>4121.2417658474005</v>
      </c>
      <c r="M9" s="70">
        <v>5752</v>
      </c>
      <c r="N9" s="70"/>
      <c r="O9" s="3"/>
      <c r="P9" s="3"/>
      <c r="Q9" s="3"/>
      <c r="U9" s="1" t="s">
        <v>119</v>
      </c>
      <c r="V9" s="70">
        <v>4243.6432303025995</v>
      </c>
      <c r="W9" s="70">
        <v>6481</v>
      </c>
      <c r="X9" s="70">
        <v>1195.7635017018999</v>
      </c>
      <c r="Y9" s="3"/>
      <c r="Z9" s="3"/>
      <c r="AA9" s="3"/>
      <c r="AB9" s="3"/>
      <c r="AC9" s="3"/>
      <c r="AD9" s="3"/>
    </row>
    <row r="10" spans="1:30" s="100" customFormat="1" ht="14.25" customHeight="1" x14ac:dyDescent="0.35">
      <c r="A10" s="3"/>
      <c r="B10" s="1" t="s">
        <v>119</v>
      </c>
      <c r="C10" s="70">
        <v>4243.6432303025995</v>
      </c>
      <c r="E10" s="70"/>
      <c r="F10" s="3"/>
      <c r="G10" s="3"/>
      <c r="H10" s="3"/>
      <c r="I10" s="3"/>
      <c r="J10" s="3"/>
      <c r="K10" s="1" t="s">
        <v>119</v>
      </c>
      <c r="L10" s="70">
        <v>4243.6432303025995</v>
      </c>
      <c r="M10" s="70">
        <v>6481</v>
      </c>
      <c r="N10" s="70"/>
      <c r="O10" s="3"/>
      <c r="P10" s="3"/>
      <c r="Q10" s="3"/>
      <c r="V10" s="70"/>
      <c r="W10" s="3"/>
      <c r="X10" s="3"/>
      <c r="Y10" s="3"/>
      <c r="Z10" s="3"/>
      <c r="AA10" s="3"/>
      <c r="AB10" s="3"/>
      <c r="AC10" s="3"/>
      <c r="AD10" s="3"/>
    </row>
    <row r="11" spans="1:30" ht="14.25" customHeight="1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</row>
    <row r="12" spans="1:30" ht="14.25" customHeight="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</row>
    <row r="13" spans="1:30" ht="14.25" customHeight="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</row>
    <row r="14" spans="1:30" ht="14.25" customHeigh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</row>
    <row r="15" spans="1:30" ht="14.25" customHeight="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</row>
    <row r="16" spans="1:30" ht="14.25" customHeight="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</row>
    <row r="17" spans="1:30" ht="14.25" customHeight="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</row>
    <row r="18" spans="1:30" ht="14.25" customHeigh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</row>
    <row r="19" spans="1:30" ht="14.25" customHeight="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</row>
    <row r="20" spans="1:30" ht="14.25" customHeight="1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</row>
    <row r="21" spans="1:30" ht="14.25" customHeight="1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</row>
    <row r="22" spans="1:30" ht="14.25" customHeight="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</row>
    <row r="23" spans="1:30" ht="14.25" customHeight="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</row>
    <row r="24" spans="1:30" ht="14.25" customHeight="1" x14ac:dyDescent="0.3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</row>
    <row r="25" spans="1:30" ht="14.25" customHeigh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</row>
    <row r="26" spans="1:30" ht="14.25" customHeight="1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</row>
    <row r="27" spans="1:30" ht="14.25" customHeight="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</row>
    <row r="28" spans="1:30" ht="14.25" customHeight="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</row>
    <row r="29" spans="1:30" ht="14.25" customHeight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</row>
    <row r="30" spans="1:30" ht="14.25" customHeight="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</row>
    <row r="31" spans="1:30" ht="14.25" customHeight="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</row>
    <row r="32" spans="1:30" ht="14.25" customHeight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</row>
    <row r="33" spans="1:30" ht="14.25" customHeight="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</row>
    <row r="34" spans="1:30" ht="14.25" customHeight="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</row>
    <row r="35" spans="1:30" ht="14.25" customHeight="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</row>
    <row r="36" spans="1:30" ht="14.25" customHeight="1" x14ac:dyDescent="0.3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</row>
    <row r="37" spans="1:30" ht="14.25" customHeight="1" x14ac:dyDescent="0.3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</row>
    <row r="38" spans="1:30" s="213" customFormat="1" ht="14.25" customHeight="1" x14ac:dyDescent="0.35">
      <c r="A38" s="160"/>
      <c r="B38" s="160" t="s">
        <v>120</v>
      </c>
      <c r="C38" s="211"/>
      <c r="D38" s="211"/>
      <c r="E38" s="211"/>
      <c r="F38" s="211"/>
      <c r="G38" s="211"/>
      <c r="H38" s="211"/>
      <c r="I38" s="211"/>
      <c r="J38" s="211"/>
      <c r="K38" s="160" t="s">
        <v>121</v>
      </c>
      <c r="L38" s="211"/>
      <c r="M38" s="211"/>
      <c r="N38" s="211"/>
      <c r="O38" s="211"/>
      <c r="P38" s="211"/>
      <c r="Q38" s="211"/>
      <c r="R38" s="211"/>
      <c r="S38" s="211"/>
      <c r="T38" s="211"/>
      <c r="U38" s="160" t="s">
        <v>122</v>
      </c>
      <c r="V38" s="211"/>
      <c r="W38" s="211"/>
      <c r="X38" s="211"/>
      <c r="Y38" s="211"/>
      <c r="Z38" s="211"/>
      <c r="AA38" s="211"/>
      <c r="AB38" s="211"/>
      <c r="AC38" s="211"/>
      <c r="AD38" s="211"/>
    </row>
    <row r="39" spans="1:30" s="100" customFormat="1" ht="14.25" customHeight="1" x14ac:dyDescent="0.35">
      <c r="A39" s="45"/>
      <c r="B39" s="45" t="s">
        <v>90</v>
      </c>
      <c r="C39" s="68" t="s">
        <v>55</v>
      </c>
      <c r="D39" s="68" t="s">
        <v>56</v>
      </c>
      <c r="E39" s="68" t="s">
        <v>57</v>
      </c>
      <c r="F39" s="68" t="s">
        <v>60</v>
      </c>
      <c r="G39" s="68"/>
      <c r="H39" s="3"/>
      <c r="I39" s="3"/>
      <c r="J39" s="3"/>
      <c r="K39" s="45" t="s">
        <v>90</v>
      </c>
      <c r="L39" s="68" t="s">
        <v>55</v>
      </c>
      <c r="M39" s="68" t="s">
        <v>56</v>
      </c>
      <c r="N39" s="68" t="s">
        <v>57</v>
      </c>
      <c r="O39" s="68" t="s">
        <v>60</v>
      </c>
      <c r="P39" s="68" t="s">
        <v>61</v>
      </c>
      <c r="Q39" s="68" t="s">
        <v>64</v>
      </c>
      <c r="R39" s="3"/>
      <c r="S39" s="3"/>
      <c r="T39" s="3"/>
      <c r="U39" s="45" t="s">
        <v>90</v>
      </c>
      <c r="V39" s="68" t="s">
        <v>55</v>
      </c>
      <c r="W39" s="68" t="s">
        <v>56</v>
      </c>
      <c r="X39" s="68" t="s">
        <v>57</v>
      </c>
      <c r="Y39" s="68" t="s">
        <v>60</v>
      </c>
      <c r="Z39" s="68" t="s">
        <v>61</v>
      </c>
      <c r="AA39" s="68" t="s">
        <v>64</v>
      </c>
      <c r="AB39" s="68" t="s">
        <v>65</v>
      </c>
      <c r="AC39" s="68"/>
      <c r="AD39" s="68"/>
    </row>
    <row r="40" spans="1:30" s="100" customFormat="1" ht="14.25" customHeight="1" x14ac:dyDescent="0.35">
      <c r="A40" s="1"/>
      <c r="B40" s="69" t="s">
        <v>115</v>
      </c>
      <c r="C40" s="70">
        <v>3988.3713124787</v>
      </c>
      <c r="D40" s="70">
        <v>6052</v>
      </c>
      <c r="E40" s="70">
        <v>400</v>
      </c>
      <c r="F40" s="70">
        <v>2000</v>
      </c>
      <c r="G40" s="70"/>
      <c r="H40" s="3"/>
      <c r="I40" s="3"/>
      <c r="J40" s="3"/>
      <c r="K40" s="69" t="s">
        <v>115</v>
      </c>
      <c r="L40" s="70">
        <v>3988.3713124787</v>
      </c>
      <c r="M40" s="70">
        <v>6052</v>
      </c>
      <c r="N40" s="70">
        <v>400</v>
      </c>
      <c r="O40" s="70">
        <v>2000</v>
      </c>
      <c r="P40" s="70">
        <v>1800</v>
      </c>
      <c r="Q40" s="70">
        <v>2400</v>
      </c>
      <c r="R40" s="3"/>
      <c r="S40" s="3"/>
      <c r="T40" s="3"/>
      <c r="U40" s="69" t="s">
        <v>115</v>
      </c>
      <c r="V40" s="70">
        <v>3988.3713124787</v>
      </c>
      <c r="W40" s="70">
        <v>6052</v>
      </c>
      <c r="X40" s="70">
        <v>400</v>
      </c>
      <c r="Y40" s="70">
        <v>2000</v>
      </c>
      <c r="Z40" s="70">
        <v>1800</v>
      </c>
      <c r="AA40" s="70">
        <v>2400</v>
      </c>
      <c r="AB40" s="70">
        <v>950</v>
      </c>
      <c r="AC40" s="70"/>
      <c r="AD40" s="70"/>
    </row>
    <row r="41" spans="1:30" s="100" customFormat="1" ht="14.25" customHeight="1" x14ac:dyDescent="0.35">
      <c r="A41" s="1"/>
      <c r="B41" s="69" t="s">
        <v>116</v>
      </c>
      <c r="C41" s="70">
        <v>4140.6611174961999</v>
      </c>
      <c r="D41" s="70">
        <v>5568</v>
      </c>
      <c r="E41" s="70">
        <v>1000</v>
      </c>
      <c r="F41" s="70">
        <v>2100</v>
      </c>
      <c r="G41" s="70"/>
      <c r="H41" s="3"/>
      <c r="I41" s="3"/>
      <c r="J41" s="3"/>
      <c r="K41" s="69" t="s">
        <v>116</v>
      </c>
      <c r="L41" s="70">
        <v>4140.6611174961999</v>
      </c>
      <c r="M41" s="70">
        <v>5568</v>
      </c>
      <c r="N41" s="70">
        <v>1000</v>
      </c>
      <c r="O41" s="70">
        <v>2100</v>
      </c>
      <c r="P41" s="70">
        <v>650</v>
      </c>
      <c r="Q41" s="70">
        <v>2600</v>
      </c>
      <c r="R41" s="3"/>
      <c r="S41" s="3"/>
      <c r="T41" s="3"/>
      <c r="U41" s="69" t="s">
        <v>116</v>
      </c>
      <c r="V41" s="70">
        <v>4140.6611174961999</v>
      </c>
      <c r="W41" s="70">
        <v>5568</v>
      </c>
      <c r="X41" s="70">
        <v>1000</v>
      </c>
      <c r="Y41" s="70">
        <v>2100</v>
      </c>
      <c r="Z41" s="70">
        <v>650</v>
      </c>
      <c r="AA41" s="70">
        <v>2600</v>
      </c>
      <c r="AB41" s="70">
        <v>1248</v>
      </c>
      <c r="AC41" s="70"/>
      <c r="AD41" s="70"/>
    </row>
    <row r="42" spans="1:30" s="100" customFormat="1" ht="14.25" customHeight="1" x14ac:dyDescent="0.35">
      <c r="B42" s="100" t="s">
        <v>117</v>
      </c>
      <c r="C42" s="70">
        <v>4216.8445622378003</v>
      </c>
      <c r="D42" s="70">
        <v>5830</v>
      </c>
      <c r="E42" s="70">
        <v>1500</v>
      </c>
      <c r="F42" s="70">
        <v>408.25110800969998</v>
      </c>
      <c r="G42" s="70"/>
      <c r="H42" s="3"/>
      <c r="I42" s="3"/>
      <c r="J42" s="3"/>
      <c r="K42" s="100" t="s">
        <v>117</v>
      </c>
      <c r="L42" s="70">
        <v>4216.8445622378003</v>
      </c>
      <c r="M42" s="70">
        <v>5830</v>
      </c>
      <c r="N42" s="70">
        <v>1500</v>
      </c>
      <c r="O42" s="70">
        <v>408.25110800969998</v>
      </c>
      <c r="P42" s="70">
        <v>2000</v>
      </c>
      <c r="Q42" s="70">
        <v>3450</v>
      </c>
      <c r="R42" s="3"/>
      <c r="S42" s="3"/>
      <c r="T42" s="3"/>
      <c r="U42" s="100" t="s">
        <v>117</v>
      </c>
      <c r="V42" s="70">
        <v>4216.8445622378003</v>
      </c>
      <c r="W42" s="70">
        <v>5830</v>
      </c>
      <c r="X42" s="70">
        <v>1500</v>
      </c>
      <c r="Y42" s="70">
        <v>408.25110800969998</v>
      </c>
      <c r="Z42" s="70">
        <v>2000</v>
      </c>
      <c r="AA42" s="70">
        <v>3450</v>
      </c>
      <c r="AB42" s="70">
        <v>3000</v>
      </c>
      <c r="AC42" s="70"/>
      <c r="AD42" s="70"/>
    </row>
    <row r="43" spans="1:30" s="100" customFormat="1" ht="14.25" customHeight="1" x14ac:dyDescent="0.35">
      <c r="B43" s="100" t="s">
        <v>118</v>
      </c>
      <c r="C43" s="70">
        <v>4121.2417658474005</v>
      </c>
      <c r="D43" s="70">
        <v>5752</v>
      </c>
      <c r="E43" s="70">
        <v>1153.9614945781</v>
      </c>
      <c r="F43" s="70">
        <v>476.91317550479994</v>
      </c>
      <c r="G43" s="70"/>
      <c r="H43" s="3"/>
      <c r="I43" s="3"/>
      <c r="J43" s="3"/>
      <c r="K43" s="100" t="s">
        <v>118</v>
      </c>
      <c r="L43" s="70">
        <v>4121.2417658474005</v>
      </c>
      <c r="M43" s="70">
        <v>5752</v>
      </c>
      <c r="N43" s="70">
        <v>1153.9614945781</v>
      </c>
      <c r="O43" s="70">
        <v>476.91317550479994</v>
      </c>
      <c r="P43" s="70">
        <v>1500</v>
      </c>
      <c r="Q43" s="70">
        <v>3548</v>
      </c>
      <c r="R43" s="3"/>
      <c r="S43" s="3"/>
      <c r="T43" s="3"/>
      <c r="U43" s="100" t="s">
        <v>118</v>
      </c>
      <c r="V43" s="70">
        <v>4121.2417658474005</v>
      </c>
      <c r="W43" s="70">
        <v>5752</v>
      </c>
      <c r="X43" s="70">
        <v>1153.9614945781</v>
      </c>
      <c r="Y43" s="70">
        <v>476.91317550479994</v>
      </c>
      <c r="Z43" s="70">
        <v>1500</v>
      </c>
      <c r="AA43" s="70"/>
      <c r="AB43" s="70"/>
      <c r="AC43" s="70"/>
      <c r="AD43" s="70"/>
    </row>
    <row r="44" spans="1:30" s="100" customFormat="1" ht="14.25" customHeight="1" x14ac:dyDescent="0.35">
      <c r="B44" s="100" t="s">
        <v>119</v>
      </c>
      <c r="C44" s="70">
        <v>4243.6432303025995</v>
      </c>
      <c r="D44" s="70">
        <v>6481</v>
      </c>
      <c r="E44" s="70">
        <v>1195.7635017018999</v>
      </c>
      <c r="F44" s="70">
        <v>1041.5128264049001</v>
      </c>
      <c r="G44" s="70"/>
      <c r="H44" s="3"/>
      <c r="I44" s="3"/>
      <c r="J44" s="3"/>
      <c r="K44" s="100" t="s">
        <v>119</v>
      </c>
      <c r="L44" s="70">
        <v>4243.6432303025995</v>
      </c>
      <c r="M44" s="70">
        <v>6481</v>
      </c>
      <c r="N44" s="70">
        <v>1195.7635017018999</v>
      </c>
      <c r="O44" s="70">
        <v>1041.5128264049001</v>
      </c>
      <c r="P44" s="70">
        <v>1140</v>
      </c>
      <c r="Q44" s="70">
        <v>3548</v>
      </c>
      <c r="R44" s="3"/>
      <c r="S44" s="3"/>
      <c r="T44" s="3"/>
      <c r="U44" s="100" t="s">
        <v>119</v>
      </c>
      <c r="V44" s="70">
        <v>4243.6432303025995</v>
      </c>
      <c r="W44" s="70">
        <v>6481</v>
      </c>
      <c r="X44" s="70">
        <v>1195.7635017018999</v>
      </c>
      <c r="Y44" s="70">
        <v>1041.5128264049001</v>
      </c>
      <c r="Z44" s="70">
        <v>1140</v>
      </c>
      <c r="AA44" s="70"/>
      <c r="AB44" s="70"/>
      <c r="AC44" s="70"/>
      <c r="AD44" s="70"/>
    </row>
    <row r="45" spans="1:30" ht="14.25" customHeight="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</row>
    <row r="46" spans="1:30" ht="14.25" customHeight="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</row>
    <row r="47" spans="1:30" ht="14.25" customHeight="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</row>
    <row r="48" spans="1:30" ht="14.25" customHeight="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</row>
    <row r="49" spans="1:30" ht="14.25" customHeight="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</row>
    <row r="50" spans="1:30" ht="14.25" customHeight="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</row>
    <row r="51" spans="1:30" ht="14.25" customHeight="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</row>
    <row r="52" spans="1:30" ht="14.25" customHeight="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</row>
    <row r="53" spans="1:30" ht="14.25" customHeight="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</row>
    <row r="54" spans="1:30" ht="14.25" customHeight="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</row>
    <row r="55" spans="1:30" ht="14.25" customHeight="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</row>
    <row r="56" spans="1:30" ht="14.25" customHeight="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</row>
    <row r="57" spans="1:30" ht="14.25" customHeight="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</row>
    <row r="58" spans="1:30" ht="14.25" customHeight="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</row>
    <row r="59" spans="1:30" ht="14.25" customHeight="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</row>
    <row r="60" spans="1:30" ht="14.25" customHeight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</row>
    <row r="61" spans="1:30" ht="14.25" customHeight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</row>
    <row r="62" spans="1:30" ht="14.25" customHeight="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</row>
    <row r="63" spans="1:30" ht="14.25" customHeight="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</row>
    <row r="64" spans="1:30" ht="14.25" customHeight="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</row>
    <row r="65" spans="1:30" ht="14.25" customHeight="1" x14ac:dyDescent="0.3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</row>
    <row r="66" spans="1:30" ht="14.25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</row>
    <row r="67" spans="1:30" ht="14.25" customHeight="1" x14ac:dyDescent="0.3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</row>
    <row r="68" spans="1:30" ht="14.25" customHeight="1" x14ac:dyDescent="0.3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</row>
    <row r="69" spans="1:30" ht="14.25" customHeight="1" x14ac:dyDescent="0.3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</row>
    <row r="70" spans="1:30" ht="14.25" customHeight="1" x14ac:dyDescent="0.3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</row>
    <row r="71" spans="1:30" ht="14.25" customHeight="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</row>
    <row r="72" spans="1:30" ht="14.25" customHeight="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</row>
    <row r="73" spans="1:30" ht="14.25" customHeight="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</row>
    <row r="74" spans="1:30" ht="14.25" customHeight="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</row>
    <row r="75" spans="1:30" ht="14.25" customHeight="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</row>
    <row r="76" spans="1:30" ht="14.25" customHeight="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</row>
    <row r="77" spans="1:30" s="213" customFormat="1" ht="14.25" customHeight="1" x14ac:dyDescent="0.35">
      <c r="A77" s="160"/>
      <c r="B77" s="160" t="s">
        <v>123</v>
      </c>
      <c r="C77" s="211"/>
      <c r="D77" s="211"/>
      <c r="E77" s="211"/>
      <c r="F77" s="211"/>
      <c r="G77" s="211"/>
      <c r="H77" s="211"/>
      <c r="I77" s="211"/>
      <c r="J77" s="211"/>
      <c r="K77" s="211"/>
      <c r="L77" s="211"/>
      <c r="M77" s="211"/>
      <c r="N77" s="211"/>
      <c r="O77" s="160" t="s">
        <v>124</v>
      </c>
      <c r="P77" s="211"/>
      <c r="Q77" s="211"/>
      <c r="R77" s="211"/>
      <c r="S77" s="211"/>
      <c r="T77" s="211"/>
      <c r="U77" s="211"/>
      <c r="V77" s="211"/>
      <c r="W77" s="211"/>
      <c r="X77" s="211"/>
      <c r="Y77" s="211"/>
      <c r="Z77" s="211"/>
      <c r="AA77" s="211"/>
      <c r="AB77" s="211"/>
      <c r="AC77" s="211"/>
      <c r="AD77" s="211"/>
    </row>
    <row r="78" spans="1:30" s="100" customFormat="1" ht="14.25" customHeight="1" x14ac:dyDescent="0.35">
      <c r="A78" s="45"/>
      <c r="B78" s="45" t="s">
        <v>90</v>
      </c>
      <c r="C78" s="68" t="s">
        <v>55</v>
      </c>
      <c r="D78" s="68" t="s">
        <v>56</v>
      </c>
      <c r="E78" s="68" t="s">
        <v>57</v>
      </c>
      <c r="F78" s="68" t="s">
        <v>60</v>
      </c>
      <c r="G78" s="68" t="s">
        <v>61</v>
      </c>
      <c r="H78" s="68" t="s">
        <v>64</v>
      </c>
      <c r="I78" s="68" t="s">
        <v>65</v>
      </c>
      <c r="J78" s="68" t="s">
        <v>66</v>
      </c>
      <c r="K78" s="68" t="s">
        <v>69</v>
      </c>
      <c r="L78" s="3"/>
      <c r="M78" s="3"/>
      <c r="N78" s="3"/>
      <c r="O78" s="45" t="s">
        <v>90</v>
      </c>
      <c r="P78" s="68" t="s">
        <v>55</v>
      </c>
      <c r="Q78" s="68" t="s">
        <v>56</v>
      </c>
      <c r="R78" s="68" t="s">
        <v>57</v>
      </c>
      <c r="S78" s="68" t="s">
        <v>60</v>
      </c>
      <c r="T78" s="68" t="s">
        <v>61</v>
      </c>
      <c r="U78" s="68" t="s">
        <v>64</v>
      </c>
      <c r="V78" s="68" t="s">
        <v>65</v>
      </c>
      <c r="W78" s="68" t="s">
        <v>66</v>
      </c>
      <c r="X78" s="68" t="s">
        <v>69</v>
      </c>
      <c r="Y78" s="68" t="s">
        <v>70</v>
      </c>
      <c r="Z78" s="68"/>
      <c r="AA78" s="68"/>
      <c r="AB78" s="68"/>
      <c r="AC78" s="68"/>
      <c r="AD78" s="68"/>
    </row>
    <row r="79" spans="1:30" s="100" customFormat="1" ht="14.25" customHeight="1" x14ac:dyDescent="0.35">
      <c r="A79" s="1"/>
      <c r="B79" s="69" t="s">
        <v>115</v>
      </c>
      <c r="C79" s="70">
        <v>3988.3713124787</v>
      </c>
      <c r="D79" s="70">
        <v>6052</v>
      </c>
      <c r="E79" s="70">
        <v>400</v>
      </c>
      <c r="F79" s="70">
        <v>2000</v>
      </c>
      <c r="G79" s="70">
        <v>1800</v>
      </c>
      <c r="H79" s="70">
        <v>2400</v>
      </c>
      <c r="I79" s="70">
        <v>950</v>
      </c>
      <c r="J79" s="70">
        <v>4587</v>
      </c>
      <c r="K79" s="70">
        <v>3485</v>
      </c>
      <c r="L79" s="3"/>
      <c r="M79" s="3"/>
      <c r="N79" s="3"/>
      <c r="O79" s="69" t="s">
        <v>115</v>
      </c>
      <c r="P79" s="70">
        <v>3988.3713124787</v>
      </c>
      <c r="Q79" s="70">
        <v>6052</v>
      </c>
      <c r="R79" s="70">
        <v>400</v>
      </c>
      <c r="S79" s="70">
        <v>2000</v>
      </c>
      <c r="T79" s="70">
        <v>1800</v>
      </c>
      <c r="U79" s="70">
        <v>2400</v>
      </c>
      <c r="V79" s="70">
        <v>950</v>
      </c>
      <c r="W79" s="70">
        <v>4587</v>
      </c>
      <c r="X79" s="70">
        <v>3485</v>
      </c>
      <c r="Y79" s="70">
        <v>2548</v>
      </c>
      <c r="Z79" s="70"/>
      <c r="AA79" s="70"/>
      <c r="AB79" s="70"/>
      <c r="AC79" s="70"/>
      <c r="AD79" s="70"/>
    </row>
    <row r="80" spans="1:30" s="100" customFormat="1" ht="14.25" customHeight="1" x14ac:dyDescent="0.35">
      <c r="A80" s="1"/>
      <c r="B80" s="69" t="s">
        <v>116</v>
      </c>
      <c r="C80" s="70">
        <v>4140.6611174961999</v>
      </c>
      <c r="D80" s="70">
        <v>5568</v>
      </c>
      <c r="E80" s="70">
        <v>1000</v>
      </c>
      <c r="F80" s="70">
        <v>2100</v>
      </c>
      <c r="G80" s="70">
        <v>650</v>
      </c>
      <c r="H80" s="70">
        <v>2600</v>
      </c>
      <c r="I80" s="70">
        <v>1248</v>
      </c>
      <c r="J80" s="70">
        <v>3548</v>
      </c>
      <c r="K80" s="70">
        <v>3400</v>
      </c>
      <c r="L80" s="3"/>
      <c r="M80" s="3"/>
      <c r="N80" s="3"/>
      <c r="O80" s="69" t="s">
        <v>116</v>
      </c>
      <c r="P80" s="70">
        <v>4140.6611174961999</v>
      </c>
      <c r="Q80" s="70">
        <v>5568</v>
      </c>
      <c r="R80" s="70">
        <v>1000</v>
      </c>
      <c r="S80" s="70">
        <v>2100</v>
      </c>
      <c r="T80" s="70">
        <v>650</v>
      </c>
      <c r="U80" s="70">
        <v>2600</v>
      </c>
      <c r="V80" s="70">
        <v>1248</v>
      </c>
      <c r="W80" s="70">
        <v>3548</v>
      </c>
      <c r="X80" s="70">
        <v>3400</v>
      </c>
      <c r="Y80" s="70">
        <v>4542</v>
      </c>
      <c r="Z80" s="70"/>
      <c r="AA80" s="70"/>
      <c r="AB80" s="70"/>
      <c r="AC80" s="70"/>
      <c r="AD80" s="70"/>
    </row>
    <row r="81" spans="1:30" s="100" customFormat="1" ht="14.25" customHeight="1" x14ac:dyDescent="0.35">
      <c r="B81" s="100" t="s">
        <v>117</v>
      </c>
      <c r="C81" s="70">
        <v>4216.8445622378003</v>
      </c>
      <c r="D81" s="70">
        <v>5830</v>
      </c>
      <c r="E81" s="70">
        <v>1500</v>
      </c>
      <c r="F81" s="70">
        <v>408.25110800969998</v>
      </c>
      <c r="G81" s="70">
        <v>2000</v>
      </c>
      <c r="H81" s="70">
        <v>3450</v>
      </c>
      <c r="I81" s="70">
        <v>3000</v>
      </c>
      <c r="J81" s="70">
        <v>2400</v>
      </c>
      <c r="K81" s="70">
        <v>4200</v>
      </c>
      <c r="L81" s="3"/>
      <c r="M81" s="3"/>
      <c r="N81" s="3"/>
      <c r="O81" s="100" t="s">
        <v>117</v>
      </c>
      <c r="P81" s="70">
        <v>4216.8445622378003</v>
      </c>
      <c r="Q81" s="70">
        <v>5830</v>
      </c>
      <c r="R81" s="70">
        <v>1500</v>
      </c>
      <c r="S81" s="70">
        <v>408.25110800969998</v>
      </c>
      <c r="T81" s="70">
        <v>2000</v>
      </c>
      <c r="U81" s="70">
        <v>3450</v>
      </c>
      <c r="V81" s="70">
        <v>3000</v>
      </c>
      <c r="W81" s="70">
        <v>2400</v>
      </c>
      <c r="X81" s="70">
        <v>4200</v>
      </c>
      <c r="Y81" s="70">
        <v>3584</v>
      </c>
      <c r="Z81" s="70"/>
      <c r="AA81" s="70"/>
      <c r="AB81" s="70"/>
      <c r="AC81" s="70"/>
      <c r="AD81" s="70"/>
    </row>
    <row r="82" spans="1:30" s="100" customFormat="1" ht="14.25" customHeight="1" x14ac:dyDescent="0.35">
      <c r="B82" s="100" t="s">
        <v>118</v>
      </c>
      <c r="C82" s="70">
        <v>4121.2417658474005</v>
      </c>
      <c r="D82" s="70">
        <v>5752</v>
      </c>
      <c r="E82" s="70">
        <v>1153.9614945781</v>
      </c>
      <c r="F82" s="70">
        <v>476.91317550479994</v>
      </c>
      <c r="G82" s="70">
        <v>1500</v>
      </c>
      <c r="H82" s="70">
        <v>3548</v>
      </c>
      <c r="I82" s="70">
        <v>2354</v>
      </c>
      <c r="J82" s="70">
        <v>2540</v>
      </c>
      <c r="K82" s="70">
        <v>3000</v>
      </c>
      <c r="L82" s="3"/>
      <c r="M82" s="3"/>
      <c r="N82" s="3"/>
      <c r="O82" s="100" t="s">
        <v>118</v>
      </c>
      <c r="P82" s="70">
        <v>4121.2417658474005</v>
      </c>
      <c r="Q82" s="70">
        <v>5752</v>
      </c>
      <c r="R82" s="70">
        <v>1153.9614945781</v>
      </c>
      <c r="S82" s="70">
        <v>476.91317550479994</v>
      </c>
      <c r="T82" s="70">
        <v>1500</v>
      </c>
      <c r="U82" s="70">
        <v>3548</v>
      </c>
      <c r="V82" s="70">
        <v>2354</v>
      </c>
      <c r="W82" s="70">
        <v>2540</v>
      </c>
      <c r="X82" s="70">
        <v>3000</v>
      </c>
      <c r="Y82" s="70">
        <v>4200</v>
      </c>
      <c r="Z82" s="70"/>
      <c r="AA82" s="70"/>
      <c r="AB82" s="70"/>
      <c r="AC82" s="70"/>
      <c r="AD82" s="70"/>
    </row>
    <row r="83" spans="1:30" s="100" customFormat="1" ht="14.25" customHeight="1" x14ac:dyDescent="0.35">
      <c r="B83" s="100" t="s">
        <v>119</v>
      </c>
      <c r="C83" s="70">
        <v>4243.6432303025995</v>
      </c>
      <c r="D83" s="70">
        <v>6481</v>
      </c>
      <c r="E83" s="70">
        <v>1195.7635017018999</v>
      </c>
      <c r="F83" s="70">
        <v>1041.5128264049001</v>
      </c>
      <c r="G83" s="70">
        <v>1140</v>
      </c>
      <c r="H83" s="70">
        <v>3548</v>
      </c>
      <c r="I83" s="70">
        <v>3258</v>
      </c>
      <c r="J83" s="70">
        <v>2224</v>
      </c>
      <c r="K83" s="70">
        <v>3400</v>
      </c>
      <c r="L83" s="3"/>
      <c r="M83" s="3"/>
      <c r="N83" s="3"/>
      <c r="O83" s="100" t="s">
        <v>119</v>
      </c>
      <c r="P83" s="70">
        <v>4243.6432303025995</v>
      </c>
      <c r="Q83" s="70">
        <v>6481</v>
      </c>
      <c r="R83" s="70">
        <v>1195.7635017018999</v>
      </c>
      <c r="S83" s="70">
        <v>1041.5128264049001</v>
      </c>
      <c r="T83" s="70">
        <v>1140</v>
      </c>
      <c r="U83" s="70">
        <v>3548</v>
      </c>
      <c r="V83" s="70">
        <v>3258</v>
      </c>
      <c r="W83" s="70">
        <v>2224</v>
      </c>
      <c r="X83" s="70">
        <v>3400</v>
      </c>
      <c r="Y83" s="70">
        <v>4000</v>
      </c>
      <c r="Z83" s="70"/>
      <c r="AA83" s="70"/>
      <c r="AB83" s="70"/>
      <c r="AC83" s="70"/>
      <c r="AD83" s="70"/>
    </row>
    <row r="84" spans="1:30" ht="14.25" customHeight="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</row>
    <row r="85" spans="1:30" ht="14.25" customHeight="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</row>
    <row r="86" spans="1:30" ht="14.25" customHeight="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</row>
    <row r="87" spans="1:30" ht="14.25" customHeight="1" x14ac:dyDescent="0.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</row>
    <row r="88" spans="1:30" ht="14.25" customHeight="1" x14ac:dyDescent="0.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</row>
    <row r="89" spans="1:30" ht="14.25" customHeight="1" x14ac:dyDescent="0.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</row>
    <row r="90" spans="1:30" ht="14.25" customHeight="1" x14ac:dyDescent="0.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</row>
    <row r="91" spans="1:30" ht="14.25" customHeight="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</row>
    <row r="92" spans="1:30" ht="14.25" customHeight="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</row>
    <row r="93" spans="1:30" ht="14.25" customHeight="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</row>
    <row r="94" spans="1:30" ht="14.25" customHeight="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</row>
    <row r="95" spans="1:30" ht="14.25" customHeight="1" x14ac:dyDescent="0.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</row>
    <row r="96" spans="1:30" ht="14.25" customHeight="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</row>
    <row r="97" spans="1:30" ht="14.25" customHeight="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</row>
    <row r="98" spans="1:30" ht="14.25" customHeight="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</row>
    <row r="99" spans="1:30" ht="14.25" customHeight="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</row>
    <row r="100" spans="1:30" ht="14.25" customHeight="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</row>
    <row r="101" spans="1:30" ht="14.25" customHeight="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</row>
    <row r="102" spans="1:30" ht="14.25" customHeight="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</row>
    <row r="103" spans="1:30" ht="14.25" customHeight="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</row>
    <row r="104" spans="1:30" ht="14.25" customHeight="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</row>
    <row r="105" spans="1:30" ht="14.25" customHeight="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</row>
    <row r="106" spans="1:30" ht="14.25" customHeight="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</row>
    <row r="107" spans="1:30" ht="14.25" customHeight="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</row>
    <row r="108" spans="1:30" ht="14.25" customHeight="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</row>
    <row r="109" spans="1:30" ht="14.25" customHeight="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</row>
  </sheetData>
  <pageMargins left="0.7" right="0.7" top="0.75" bottom="0.75" header="0" footer="0"/>
  <pageSetup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 summaryRight="0"/>
  </sheetPr>
  <dimension ref="A1:X117"/>
  <sheetViews>
    <sheetView showGridLines="0" topLeftCell="J58" zoomScale="85" zoomScaleNormal="85" workbookViewId="0">
      <selection activeCell="K12" sqref="K12"/>
    </sheetView>
  </sheetViews>
  <sheetFormatPr baseColWidth="10" defaultColWidth="12.4609375" defaultRowHeight="15.75" customHeight="1" x14ac:dyDescent="0.3"/>
  <cols>
    <col min="1" max="1" width="5.4609375" customWidth="1"/>
    <col min="2" max="24" width="10.4609375" customWidth="1"/>
  </cols>
  <sheetData>
    <row r="1" spans="1:24" ht="14.25" customHeight="1" x14ac:dyDescent="0.35">
      <c r="A1" s="3"/>
      <c r="B1" s="3"/>
      <c r="C1" s="45"/>
      <c r="D1" s="52"/>
      <c r="E1" s="52"/>
      <c r="F1" s="3"/>
      <c r="G1" s="3"/>
      <c r="H1" s="3"/>
      <c r="I1" s="3"/>
      <c r="J1" s="3"/>
      <c r="K1" s="3"/>
      <c r="L1" s="3"/>
      <c r="M1" s="45"/>
      <c r="N1" s="52"/>
      <c r="O1" s="52"/>
      <c r="P1" s="3"/>
      <c r="Q1" s="3"/>
      <c r="R1" s="3"/>
      <c r="S1" s="3"/>
      <c r="T1" s="3"/>
      <c r="U1" s="3"/>
      <c r="V1" s="3"/>
      <c r="W1" s="3"/>
      <c r="X1" s="3"/>
    </row>
    <row r="2" spans="1:24" ht="14.25" customHeight="1" x14ac:dyDescent="0.35">
      <c r="A2" s="3"/>
      <c r="B2" s="3"/>
      <c r="C2" s="45"/>
      <c r="D2" s="52"/>
      <c r="E2" s="52"/>
      <c r="F2" s="3"/>
      <c r="G2" s="3"/>
      <c r="H2" s="3"/>
      <c r="I2" s="3"/>
      <c r="J2" s="3"/>
      <c r="K2" s="3"/>
      <c r="L2" s="3"/>
      <c r="M2" s="45"/>
      <c r="N2" s="45"/>
      <c r="O2" s="45"/>
      <c r="P2" s="3"/>
      <c r="Q2" s="3"/>
      <c r="R2" s="3"/>
      <c r="S2" s="3"/>
      <c r="T2" s="3"/>
      <c r="U2" s="3"/>
      <c r="V2" s="3"/>
      <c r="W2" s="3"/>
      <c r="X2" s="3"/>
    </row>
    <row r="3" spans="1:24" ht="14.25" customHeight="1" x14ac:dyDescent="0.35">
      <c r="A3" s="3"/>
      <c r="B3" s="3"/>
      <c r="C3" s="45"/>
      <c r="D3" s="52"/>
      <c r="E3" s="52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ht="14.25" customHeight="1" x14ac:dyDescent="0.35">
      <c r="A4" s="3"/>
      <c r="B4" s="3"/>
      <c r="C4" s="45"/>
      <c r="D4" s="52"/>
      <c r="E4" s="52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</row>
    <row r="5" spans="1:24" ht="14.25" customHeight="1" x14ac:dyDescent="0.35">
      <c r="A5" s="3"/>
      <c r="B5" s="3"/>
      <c r="C5" s="45"/>
      <c r="D5" s="52"/>
      <c r="E5" s="52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</row>
    <row r="6" spans="1:24" s="213" customFormat="1" ht="14.25" customHeight="1" x14ac:dyDescent="0.35">
      <c r="A6" s="211"/>
      <c r="B6" s="160" t="s">
        <v>125</v>
      </c>
      <c r="M6" s="160" t="s">
        <v>126</v>
      </c>
      <c r="Q6" s="211"/>
      <c r="R6" s="211"/>
      <c r="S6" s="211"/>
      <c r="T6" s="211"/>
      <c r="U6" s="211"/>
      <c r="V6" s="211"/>
      <c r="W6" s="211"/>
      <c r="X6" s="211"/>
    </row>
    <row r="7" spans="1:24" ht="14.25" customHeight="1" x14ac:dyDescent="0.3">
      <c r="A7" s="3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100"/>
      <c r="N7" s="100"/>
      <c r="O7" s="100"/>
      <c r="P7" s="100"/>
      <c r="Q7" s="3"/>
      <c r="R7" s="3"/>
      <c r="S7" s="3"/>
      <c r="T7" s="3"/>
      <c r="U7" s="3"/>
      <c r="V7" s="3"/>
      <c r="W7" s="3"/>
      <c r="X7" s="3"/>
    </row>
    <row r="8" spans="1:24" ht="14.25" customHeight="1" x14ac:dyDescent="0.35">
      <c r="A8" s="3"/>
      <c r="B8" s="6"/>
      <c r="C8" s="1" t="s">
        <v>90</v>
      </c>
      <c r="D8" s="50" t="s">
        <v>55</v>
      </c>
      <c r="E8" s="50"/>
      <c r="F8" s="50"/>
      <c r="G8" s="6"/>
      <c r="H8" s="6"/>
      <c r="I8" s="6"/>
      <c r="J8" s="6"/>
      <c r="K8" s="6"/>
      <c r="L8" s="6"/>
      <c r="M8" s="1" t="s">
        <v>90</v>
      </c>
      <c r="N8" s="50" t="s">
        <v>107</v>
      </c>
      <c r="O8" s="50">
        <v>2020</v>
      </c>
      <c r="P8" s="50">
        <v>2030</v>
      </c>
      <c r="Q8" s="3"/>
      <c r="R8" s="3"/>
      <c r="S8" s="3"/>
      <c r="T8" s="3"/>
      <c r="U8" s="3"/>
      <c r="V8" s="3"/>
      <c r="W8" s="3"/>
      <c r="X8" s="3"/>
    </row>
    <row r="9" spans="1:24" ht="14.25" customHeight="1" x14ac:dyDescent="0.35">
      <c r="A9" s="3"/>
      <c r="B9" s="6"/>
      <c r="C9" s="8" t="s">
        <v>81</v>
      </c>
      <c r="D9" s="52">
        <v>7.0000000000000007E-2</v>
      </c>
      <c r="E9" s="56"/>
      <c r="F9" s="56"/>
      <c r="G9" s="6"/>
      <c r="H9" s="6"/>
      <c r="I9" s="6"/>
      <c r="J9" s="6"/>
      <c r="K9" s="6"/>
      <c r="L9" s="6"/>
      <c r="M9" s="8" t="s">
        <v>81</v>
      </c>
      <c r="N9" s="52">
        <v>0.1</v>
      </c>
      <c r="O9" s="52">
        <v>0.06</v>
      </c>
      <c r="P9" s="52">
        <v>0.03</v>
      </c>
      <c r="Q9" s="3"/>
      <c r="R9" s="3"/>
      <c r="S9" s="3"/>
      <c r="T9" s="3"/>
      <c r="U9" s="3"/>
      <c r="V9" s="3"/>
      <c r="W9" s="3"/>
      <c r="X9" s="3"/>
    </row>
    <row r="10" spans="1:24" ht="14.25" customHeight="1" x14ac:dyDescent="0.35">
      <c r="A10" s="3"/>
      <c r="B10" s="6"/>
      <c r="C10" s="8" t="s">
        <v>83</v>
      </c>
      <c r="D10" s="52">
        <v>0.03</v>
      </c>
      <c r="E10" s="56"/>
      <c r="F10" s="56"/>
      <c r="G10" s="6"/>
      <c r="H10" s="6"/>
      <c r="I10" s="6"/>
      <c r="J10" s="6"/>
      <c r="K10" s="6"/>
      <c r="L10" s="6"/>
      <c r="M10" s="8" t="s">
        <v>83</v>
      </c>
      <c r="N10" s="64">
        <v>0.09</v>
      </c>
      <c r="O10" s="52">
        <v>0.04</v>
      </c>
      <c r="P10" s="64">
        <v>0.04</v>
      </c>
      <c r="Q10" s="3"/>
      <c r="R10" s="3"/>
      <c r="S10" s="3"/>
      <c r="T10" s="3"/>
      <c r="U10" s="3"/>
      <c r="V10" s="3"/>
      <c r="W10" s="3"/>
      <c r="X10" s="3"/>
    </row>
    <row r="11" spans="1:24" ht="14.25" customHeight="1" x14ac:dyDescent="0.35">
      <c r="A11" s="3"/>
      <c r="B11" s="6"/>
      <c r="C11" s="8" t="s">
        <v>127</v>
      </c>
      <c r="D11" s="52">
        <v>0.05</v>
      </c>
      <c r="E11" s="56"/>
      <c r="F11" s="56"/>
      <c r="G11" s="6"/>
      <c r="H11" s="6"/>
      <c r="I11" s="6"/>
      <c r="J11" s="6"/>
      <c r="K11" s="6"/>
      <c r="L11" s="6"/>
      <c r="M11" s="8" t="s">
        <v>84</v>
      </c>
      <c r="N11" s="52">
        <v>0.09</v>
      </c>
      <c r="O11" s="52">
        <v>0.06</v>
      </c>
      <c r="P11" s="52">
        <v>0.05</v>
      </c>
      <c r="Q11" s="3"/>
      <c r="R11" s="3"/>
      <c r="S11" s="3"/>
      <c r="T11" s="3"/>
      <c r="U11" s="3"/>
      <c r="V11" s="3"/>
      <c r="W11" s="3"/>
      <c r="X11" s="3"/>
    </row>
    <row r="12" spans="1:24" ht="14.25" customHeight="1" x14ac:dyDescent="0.35">
      <c r="A12" s="3"/>
      <c r="B12" s="6"/>
      <c r="C12" s="218"/>
      <c r="D12" s="218"/>
      <c r="E12" s="56"/>
      <c r="F12" s="56"/>
      <c r="G12" s="6"/>
      <c r="H12" s="6"/>
      <c r="I12" s="6"/>
      <c r="J12" s="6"/>
      <c r="K12" s="6"/>
      <c r="L12" s="6"/>
      <c r="M12" s="8" t="s">
        <v>86</v>
      </c>
      <c r="N12" s="52">
        <v>7.0000000000000007E-2</v>
      </c>
      <c r="O12" s="52">
        <v>7.0000000000000007E-2</v>
      </c>
      <c r="P12" s="52">
        <v>0.05</v>
      </c>
      <c r="Q12" s="3"/>
      <c r="R12" s="3"/>
      <c r="S12" s="3"/>
      <c r="T12" s="3"/>
      <c r="U12" s="3"/>
      <c r="V12" s="3"/>
      <c r="W12" s="3"/>
      <c r="X12" s="3"/>
    </row>
    <row r="13" spans="1:24" ht="14.25" customHeight="1" x14ac:dyDescent="0.35">
      <c r="A13" s="3"/>
      <c r="B13" s="6"/>
      <c r="C13" s="100"/>
      <c r="D13" s="100"/>
      <c r="F13" s="52"/>
      <c r="G13" s="6"/>
      <c r="H13" s="6"/>
      <c r="I13" s="6"/>
      <c r="J13" s="6"/>
      <c r="K13" s="6"/>
      <c r="L13" s="6"/>
      <c r="M13" s="8" t="s">
        <v>128</v>
      </c>
      <c r="N13" s="52">
        <v>7.0000000000000007E-2</v>
      </c>
      <c r="O13" s="52">
        <v>0.06</v>
      </c>
      <c r="P13" s="52">
        <v>0.06</v>
      </c>
      <c r="Q13" s="3"/>
      <c r="R13" s="3"/>
      <c r="S13" s="3"/>
      <c r="T13" s="3"/>
      <c r="U13" s="3"/>
      <c r="V13" s="3"/>
      <c r="W13" s="3"/>
      <c r="X13" s="3"/>
    </row>
    <row r="14" spans="1:24" ht="14.25" customHeight="1" x14ac:dyDescent="0.35">
      <c r="A14" s="3"/>
      <c r="B14" s="6"/>
      <c r="C14" s="8"/>
      <c r="D14" s="67"/>
      <c r="F14" s="67"/>
      <c r="G14" s="6"/>
      <c r="H14" s="6"/>
      <c r="I14" s="6"/>
      <c r="J14" s="6"/>
      <c r="K14" s="6"/>
      <c r="L14" s="6"/>
      <c r="M14" s="8" t="s">
        <v>129</v>
      </c>
      <c r="N14" s="52">
        <v>0.08</v>
      </c>
      <c r="O14" s="52">
        <v>0.04</v>
      </c>
      <c r="P14" s="52">
        <v>0.06</v>
      </c>
      <c r="Q14" s="3"/>
      <c r="R14" s="3"/>
      <c r="S14" s="3"/>
      <c r="T14" s="3"/>
      <c r="U14" s="3"/>
      <c r="V14" s="3"/>
      <c r="W14" s="3"/>
      <c r="X14" s="3"/>
    </row>
    <row r="15" spans="1:24" ht="14.25" customHeight="1" x14ac:dyDescent="0.35">
      <c r="A15" s="3"/>
      <c r="B15" s="6"/>
      <c r="C15" s="8"/>
      <c r="D15" s="52"/>
      <c r="F15" s="52"/>
      <c r="G15" s="6"/>
      <c r="H15" s="6"/>
      <c r="I15" s="6"/>
      <c r="J15" s="6"/>
      <c r="K15" s="6"/>
      <c r="L15" s="6"/>
      <c r="M15" s="8" t="s">
        <v>130</v>
      </c>
      <c r="N15" s="52">
        <v>7.0000000000000007E-2</v>
      </c>
      <c r="O15" s="52">
        <v>0.06</v>
      </c>
      <c r="P15" s="52">
        <v>7.0000000000000007E-2</v>
      </c>
      <c r="Q15" s="3"/>
      <c r="R15" s="3"/>
      <c r="S15" s="3"/>
      <c r="T15" s="3"/>
      <c r="U15" s="3"/>
      <c r="V15" s="3"/>
      <c r="W15" s="3"/>
      <c r="X15" s="3"/>
    </row>
    <row r="16" spans="1:24" ht="14.25" customHeight="1" x14ac:dyDescent="0.35">
      <c r="A16" s="3"/>
      <c r="B16" s="6"/>
      <c r="F16" s="6"/>
      <c r="G16" s="6"/>
      <c r="H16" s="6"/>
      <c r="I16" s="6"/>
      <c r="J16" s="6"/>
      <c r="K16" s="6"/>
      <c r="L16" s="6"/>
      <c r="M16" s="8" t="s">
        <v>131</v>
      </c>
      <c r="N16" s="52">
        <v>7.0000000000000007E-2</v>
      </c>
      <c r="O16" s="52">
        <v>7.0000000000000007E-2</v>
      </c>
      <c r="P16" s="52">
        <v>7.0000000000000007E-2</v>
      </c>
      <c r="Q16" s="3"/>
      <c r="R16" s="3"/>
      <c r="S16" s="3"/>
      <c r="T16" s="3"/>
      <c r="U16" s="3"/>
      <c r="V16" s="3"/>
      <c r="W16" s="3"/>
      <c r="X16" s="3"/>
    </row>
    <row r="17" spans="1:24" ht="14.25" customHeight="1" x14ac:dyDescent="0.35">
      <c r="A17" s="3"/>
      <c r="B17" s="6"/>
      <c r="F17" s="6"/>
      <c r="G17" s="6"/>
      <c r="H17" s="6"/>
      <c r="I17" s="6"/>
      <c r="J17" s="6"/>
      <c r="K17" s="6"/>
      <c r="L17" s="6"/>
      <c r="M17" s="8"/>
      <c r="N17" s="52"/>
      <c r="O17" s="52"/>
      <c r="P17" s="100"/>
      <c r="Q17" s="3"/>
      <c r="R17" s="3"/>
      <c r="S17" s="3"/>
      <c r="T17" s="3"/>
      <c r="U17" s="3"/>
      <c r="V17" s="3"/>
      <c r="W17" s="3"/>
      <c r="X17" s="3"/>
    </row>
    <row r="18" spans="1:24" ht="14.25" customHeight="1" x14ac:dyDescent="0.35">
      <c r="A18" s="3"/>
      <c r="B18" s="6"/>
      <c r="F18" s="6"/>
      <c r="G18" s="6"/>
      <c r="H18" s="6"/>
      <c r="I18" s="6"/>
      <c r="J18" s="6"/>
      <c r="K18" s="6"/>
      <c r="L18" s="6"/>
      <c r="M18" s="8"/>
      <c r="N18" s="52"/>
      <c r="O18" s="52"/>
      <c r="P18" s="6"/>
      <c r="Q18" s="3"/>
      <c r="R18" s="3"/>
      <c r="S18" s="3"/>
      <c r="T18" s="3"/>
      <c r="U18" s="3"/>
      <c r="V18" s="3"/>
      <c r="W18" s="3"/>
      <c r="X18" s="3"/>
    </row>
    <row r="19" spans="1:24" ht="14.25" customHeight="1" x14ac:dyDescent="0.35">
      <c r="A19" s="3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8"/>
      <c r="N19" s="52"/>
      <c r="O19" s="52"/>
      <c r="P19" s="6"/>
      <c r="Q19" s="3"/>
      <c r="R19" s="3"/>
      <c r="S19" s="3"/>
      <c r="T19" s="3"/>
      <c r="U19" s="3"/>
      <c r="V19" s="3"/>
      <c r="W19" s="3"/>
      <c r="X19" s="3"/>
    </row>
    <row r="20" spans="1:24" ht="14.25" customHeight="1" x14ac:dyDescent="0.35">
      <c r="A20" s="3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8"/>
      <c r="N20" s="52"/>
      <c r="O20" s="52"/>
      <c r="P20" s="6"/>
      <c r="Q20" s="3"/>
      <c r="R20" s="3"/>
      <c r="S20" s="3"/>
      <c r="T20" s="3"/>
      <c r="U20" s="3"/>
      <c r="V20" s="3"/>
      <c r="W20" s="3"/>
      <c r="X20" s="3"/>
    </row>
    <row r="21" spans="1:24" ht="14.25" customHeight="1" x14ac:dyDescent="0.35">
      <c r="A21" s="3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8"/>
      <c r="N21" s="52"/>
      <c r="O21" s="52"/>
      <c r="P21" s="6"/>
      <c r="Q21" s="3"/>
      <c r="R21" s="3"/>
      <c r="S21" s="3"/>
      <c r="T21" s="3"/>
      <c r="U21" s="3"/>
      <c r="V21" s="3"/>
      <c r="W21" s="3"/>
      <c r="X21" s="3"/>
    </row>
    <row r="22" spans="1:24" ht="14.25" customHeight="1" x14ac:dyDescent="0.35">
      <c r="A22" s="3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8"/>
      <c r="N22" s="52"/>
      <c r="O22" s="52"/>
      <c r="P22" s="6"/>
      <c r="Q22" s="3"/>
      <c r="R22" s="3"/>
      <c r="S22" s="3"/>
      <c r="T22" s="3"/>
      <c r="U22" s="3"/>
      <c r="V22" s="3"/>
      <c r="W22" s="3"/>
      <c r="X22" s="3"/>
    </row>
    <row r="23" spans="1:24" ht="14.25" customHeight="1" x14ac:dyDescent="0.35">
      <c r="A23" s="3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8"/>
      <c r="N23" s="52"/>
      <c r="O23" s="52"/>
      <c r="P23" s="6"/>
      <c r="Q23" s="3"/>
      <c r="R23" s="3"/>
      <c r="S23" s="3"/>
      <c r="T23" s="3"/>
      <c r="U23" s="3"/>
      <c r="V23" s="3"/>
      <c r="W23" s="3"/>
      <c r="X23" s="3"/>
    </row>
    <row r="24" spans="1:24" ht="14.25" customHeight="1" x14ac:dyDescent="0.35">
      <c r="A24" s="3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8"/>
      <c r="N24" s="52"/>
      <c r="O24" s="52"/>
      <c r="P24" s="6"/>
      <c r="Q24" s="3"/>
      <c r="R24" s="3"/>
      <c r="S24" s="3"/>
      <c r="T24" s="3"/>
      <c r="U24" s="3"/>
      <c r="V24" s="3"/>
      <c r="W24" s="3"/>
      <c r="X24" s="3"/>
    </row>
    <row r="25" spans="1:24" ht="14.25" customHeight="1" x14ac:dyDescent="0.35">
      <c r="A25" s="3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8"/>
      <c r="N25" s="52"/>
      <c r="O25" s="52"/>
      <c r="P25" s="6"/>
      <c r="Q25" s="3"/>
      <c r="R25" s="3"/>
      <c r="S25" s="3"/>
      <c r="T25" s="3"/>
      <c r="U25" s="3"/>
      <c r="V25" s="3"/>
      <c r="W25" s="3"/>
      <c r="X25" s="3"/>
    </row>
    <row r="26" spans="1:24" s="213" customFormat="1" ht="14.25" customHeight="1" x14ac:dyDescent="0.35">
      <c r="A26" s="211"/>
      <c r="B26" s="160" t="s">
        <v>132</v>
      </c>
      <c r="M26" s="160" t="s">
        <v>133</v>
      </c>
      <c r="N26" s="217"/>
      <c r="O26" s="217"/>
      <c r="Q26" s="211"/>
      <c r="R26" s="211"/>
      <c r="S26" s="211"/>
      <c r="T26" s="211"/>
      <c r="U26" s="211"/>
      <c r="V26" s="211"/>
      <c r="W26" s="211"/>
      <c r="X26" s="211"/>
    </row>
    <row r="27" spans="1:24" ht="14.25" customHeight="1" x14ac:dyDescent="0.35">
      <c r="A27" s="3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N27" s="52"/>
      <c r="O27" s="52"/>
      <c r="P27" s="6"/>
      <c r="Q27" s="3"/>
      <c r="R27" s="3"/>
      <c r="S27" s="3"/>
      <c r="T27" s="3"/>
      <c r="U27" s="3"/>
      <c r="V27" s="3"/>
      <c r="W27" s="3"/>
      <c r="X27" s="3"/>
    </row>
    <row r="28" spans="1:24" s="100" customFormat="1" ht="14.25" customHeight="1" x14ac:dyDescent="0.35">
      <c r="A28" s="3"/>
      <c r="M28" s="8"/>
      <c r="N28" s="52"/>
      <c r="O28" s="52"/>
      <c r="Q28" s="3"/>
      <c r="R28" s="3"/>
      <c r="S28" s="3"/>
      <c r="T28" s="3"/>
      <c r="U28" s="3"/>
      <c r="V28" s="3"/>
      <c r="W28" s="3"/>
      <c r="X28" s="3"/>
    </row>
    <row r="29" spans="1:24" s="100" customFormat="1" ht="14.25" customHeight="1" x14ac:dyDescent="0.35">
      <c r="A29" s="3"/>
      <c r="B29" s="1" t="s">
        <v>90</v>
      </c>
      <c r="C29" s="50" t="s">
        <v>55</v>
      </c>
      <c r="D29" s="50" t="s">
        <v>56</v>
      </c>
      <c r="M29" s="8"/>
      <c r="N29" s="52"/>
      <c r="O29" s="52"/>
      <c r="Q29" s="3"/>
      <c r="R29" s="3"/>
      <c r="S29" s="3"/>
      <c r="T29" s="3"/>
      <c r="U29" s="3"/>
      <c r="V29" s="3"/>
      <c r="W29" s="3"/>
      <c r="X29" s="3"/>
    </row>
    <row r="30" spans="1:24" s="100" customFormat="1" ht="14.25" customHeight="1" x14ac:dyDescent="0.45">
      <c r="A30" s="3"/>
      <c r="B30" s="8" t="s">
        <v>81</v>
      </c>
      <c r="C30" s="52">
        <v>7.0000000000000007E-2</v>
      </c>
      <c r="D30" s="52">
        <v>0.06</v>
      </c>
      <c r="F30" s="3"/>
      <c r="G30" s="3"/>
      <c r="H30" s="3"/>
      <c r="I30" s="3"/>
      <c r="J30" s="3"/>
      <c r="K30" s="3"/>
      <c r="L30" s="3"/>
      <c r="M30" s="71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</row>
    <row r="31" spans="1:24" s="100" customFormat="1" ht="14.25" customHeight="1" x14ac:dyDescent="0.35">
      <c r="A31" s="3"/>
      <c r="B31" s="8" t="s">
        <v>83</v>
      </c>
      <c r="C31" s="52">
        <v>0.06</v>
      </c>
      <c r="D31" s="52">
        <v>0.04</v>
      </c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</row>
    <row r="32" spans="1:24" s="100" customFormat="1" ht="14.25" customHeight="1" x14ac:dyDescent="0.35">
      <c r="A32" s="3"/>
      <c r="B32" s="8" t="s">
        <v>84</v>
      </c>
      <c r="C32" s="52">
        <v>0.03</v>
      </c>
      <c r="D32" s="52">
        <v>0.06</v>
      </c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</row>
    <row r="33" spans="1:24" s="100" customFormat="1" ht="14.25" customHeight="1" x14ac:dyDescent="0.35">
      <c r="A33" s="3"/>
      <c r="B33" s="8" t="s">
        <v>86</v>
      </c>
      <c r="C33" s="52">
        <v>0.03</v>
      </c>
      <c r="D33" s="52">
        <v>7.0000000000000007E-2</v>
      </c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</row>
    <row r="34" spans="1:24" s="100" customFormat="1" ht="14.25" customHeight="1" x14ac:dyDescent="0.3">
      <c r="A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</row>
    <row r="35" spans="1:24" s="100" customFormat="1" ht="14.25" customHeight="1" x14ac:dyDescent="0.3">
      <c r="A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</row>
    <row r="36" spans="1:24" s="100" customFormat="1" ht="14.25" customHeight="1" x14ac:dyDescent="0.3">
      <c r="A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</row>
    <row r="37" spans="1:24" s="100" customFormat="1" ht="14.25" customHeight="1" x14ac:dyDescent="0.3">
      <c r="A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</row>
    <row r="38" spans="1:24" ht="14.25" customHeight="1" x14ac:dyDescent="0.3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</row>
    <row r="39" spans="1:24" ht="14.25" customHeight="1" x14ac:dyDescent="0.3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</row>
    <row r="40" spans="1:24" ht="14.25" customHeight="1" x14ac:dyDescent="0.3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</row>
    <row r="41" spans="1:24" ht="14.25" customHeight="1" x14ac:dyDescent="0.3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</row>
    <row r="42" spans="1:24" ht="14.25" customHeight="1" x14ac:dyDescent="0.3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</row>
    <row r="43" spans="1:24" ht="14.25" customHeight="1" x14ac:dyDescent="0.3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</row>
    <row r="44" spans="1:24" ht="14.25" customHeight="1" x14ac:dyDescent="0.3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</row>
    <row r="45" spans="1:24" ht="14.25" customHeight="1" x14ac:dyDescent="0.3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</row>
    <row r="46" spans="1:24" ht="14.25" customHeight="1" x14ac:dyDescent="0.3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</row>
    <row r="47" spans="1:24" ht="14.25" customHeight="1" x14ac:dyDescent="0.3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</row>
    <row r="48" spans="1:24" ht="14.25" customHeight="1" x14ac:dyDescent="0.3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</row>
    <row r="49" spans="1:24" ht="14.25" customHeight="1" x14ac:dyDescent="0.3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</row>
    <row r="50" spans="1:24" ht="14.25" customHeight="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</row>
    <row r="51" spans="1:24" ht="14.25" customHeight="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</row>
    <row r="52" spans="1:24" s="213" customFormat="1" ht="14.25" customHeight="1" x14ac:dyDescent="0.35">
      <c r="A52" s="211"/>
      <c r="B52" s="160" t="s">
        <v>134</v>
      </c>
      <c r="C52" s="211"/>
      <c r="D52" s="211"/>
      <c r="E52" s="211"/>
      <c r="F52" s="211"/>
      <c r="G52" s="211"/>
      <c r="H52" s="211"/>
      <c r="I52" s="211"/>
      <c r="J52" s="211"/>
      <c r="K52" s="211"/>
      <c r="L52" s="211"/>
      <c r="M52" s="160" t="s">
        <v>135</v>
      </c>
      <c r="N52" s="211"/>
      <c r="O52" s="211"/>
      <c r="P52" s="211"/>
      <c r="Q52" s="211"/>
      <c r="R52" s="211"/>
      <c r="S52" s="211"/>
      <c r="T52" s="211"/>
      <c r="U52" s="211"/>
      <c r="V52" s="211"/>
      <c r="W52" s="211"/>
      <c r="X52" s="211"/>
    </row>
    <row r="53" spans="1:24" s="100" customFormat="1" ht="14.25" customHeight="1" x14ac:dyDescent="0.35">
      <c r="A53" s="3"/>
      <c r="B53" s="3"/>
      <c r="C53" s="3"/>
      <c r="D53" s="3"/>
      <c r="E53" s="3"/>
      <c r="F53" s="3"/>
      <c r="G53" s="3"/>
      <c r="H53" s="3"/>
      <c r="I53" s="3"/>
      <c r="J53" s="3"/>
      <c r="K53" s="45"/>
      <c r="L53" s="45"/>
      <c r="M53" s="45"/>
      <c r="N53" s="45"/>
      <c r="O53" s="45"/>
      <c r="P53" s="3"/>
      <c r="Q53" s="3"/>
      <c r="R53" s="3"/>
      <c r="S53" s="3"/>
      <c r="T53" s="3"/>
      <c r="U53" s="3"/>
      <c r="V53" s="3"/>
      <c r="W53" s="3"/>
      <c r="X53" s="3"/>
    </row>
    <row r="54" spans="1:24" s="100" customFormat="1" ht="14.25" customHeight="1" x14ac:dyDescent="0.35">
      <c r="A54" s="3"/>
      <c r="B54" s="3"/>
      <c r="C54" s="1" t="s">
        <v>90</v>
      </c>
      <c r="D54" s="50" t="s">
        <v>55</v>
      </c>
      <c r="E54" s="50" t="s">
        <v>56</v>
      </c>
      <c r="F54" s="50" t="s">
        <v>57</v>
      </c>
      <c r="G54" s="3"/>
      <c r="H54" s="3"/>
      <c r="I54" s="3"/>
      <c r="J54" s="3"/>
      <c r="K54" s="45"/>
      <c r="L54" s="45"/>
      <c r="M54" s="45" t="s">
        <v>90</v>
      </c>
      <c r="N54" s="50" t="s">
        <v>55</v>
      </c>
      <c r="O54" s="50" t="s">
        <v>56</v>
      </c>
      <c r="P54" s="50" t="s">
        <v>57</v>
      </c>
      <c r="Q54" s="50" t="s">
        <v>60</v>
      </c>
      <c r="R54" s="50" t="s">
        <v>61</v>
      </c>
      <c r="S54" s="50" t="s">
        <v>64</v>
      </c>
      <c r="T54" s="50" t="s">
        <v>65</v>
      </c>
      <c r="U54" s="50" t="s">
        <v>66</v>
      </c>
      <c r="V54" s="50" t="s">
        <v>69</v>
      </c>
      <c r="W54" s="50" t="s">
        <v>70</v>
      </c>
      <c r="X54" s="50"/>
    </row>
    <row r="55" spans="1:24" s="100" customFormat="1" ht="14.25" customHeight="1" x14ac:dyDescent="0.35">
      <c r="A55" s="3"/>
      <c r="B55" s="3"/>
      <c r="C55" s="8" t="s">
        <v>81</v>
      </c>
      <c r="D55" s="52">
        <v>7.0000000000000007E-2</v>
      </c>
      <c r="E55" s="52">
        <v>0.06</v>
      </c>
      <c r="F55" s="52">
        <v>0.09</v>
      </c>
      <c r="G55" s="3"/>
      <c r="H55" s="3"/>
      <c r="I55" s="3"/>
      <c r="J55" s="3"/>
      <c r="K55" s="45"/>
      <c r="L55" s="45"/>
      <c r="M55" s="8" t="s">
        <v>81</v>
      </c>
      <c r="N55" s="7">
        <v>0.1</v>
      </c>
      <c r="O55" s="7">
        <v>0.03</v>
      </c>
      <c r="P55" s="52">
        <v>0.1</v>
      </c>
      <c r="Q55" s="7">
        <v>0.1</v>
      </c>
      <c r="R55" s="7">
        <v>0.1</v>
      </c>
      <c r="S55" s="7">
        <v>0.03</v>
      </c>
      <c r="T55" s="52">
        <v>0.1</v>
      </c>
      <c r="U55" s="7">
        <v>0.1</v>
      </c>
      <c r="V55" s="7">
        <v>0.1</v>
      </c>
      <c r="W55" s="7">
        <v>0.03</v>
      </c>
      <c r="X55" s="52"/>
    </row>
    <row r="56" spans="1:24" s="100" customFormat="1" ht="14.25" customHeight="1" x14ac:dyDescent="0.35">
      <c r="A56" s="3"/>
      <c r="B56" s="3"/>
      <c r="C56" s="8" t="s">
        <v>83</v>
      </c>
      <c r="D56" s="52">
        <v>0.06</v>
      </c>
      <c r="E56" s="52">
        <v>0.04</v>
      </c>
      <c r="F56" s="52">
        <v>0.06</v>
      </c>
      <c r="G56" s="3"/>
      <c r="H56" s="3"/>
      <c r="I56" s="3"/>
      <c r="J56" s="3"/>
      <c r="K56" s="45"/>
      <c r="L56" s="45"/>
      <c r="M56" s="8" t="s">
        <v>83</v>
      </c>
      <c r="N56" s="64">
        <v>0.09</v>
      </c>
      <c r="O56" s="64">
        <v>0.04</v>
      </c>
      <c r="P56" s="64">
        <v>0.09</v>
      </c>
      <c r="Q56" s="64">
        <v>0.09</v>
      </c>
      <c r="R56" s="64">
        <v>0.09</v>
      </c>
      <c r="S56" s="64">
        <v>0.04</v>
      </c>
      <c r="T56" s="64">
        <v>0.09</v>
      </c>
      <c r="U56" s="64">
        <v>0.09</v>
      </c>
      <c r="V56" s="64">
        <v>0.09</v>
      </c>
      <c r="W56" s="64">
        <v>0.04</v>
      </c>
      <c r="X56" s="64"/>
    </row>
    <row r="57" spans="1:24" s="100" customFormat="1" ht="14.25" customHeight="1" x14ac:dyDescent="0.35">
      <c r="A57" s="3"/>
      <c r="B57" s="3"/>
      <c r="C57" s="8" t="s">
        <v>84</v>
      </c>
      <c r="D57" s="52">
        <v>0.03</v>
      </c>
      <c r="E57" s="52">
        <v>0.06</v>
      </c>
      <c r="F57" s="52">
        <v>0.03</v>
      </c>
      <c r="G57" s="3"/>
      <c r="H57" s="3"/>
      <c r="I57" s="3"/>
      <c r="J57" s="3"/>
      <c r="K57" s="45"/>
      <c r="L57" s="45"/>
      <c r="M57" s="8" t="s">
        <v>84</v>
      </c>
      <c r="N57" s="7">
        <v>0.09</v>
      </c>
      <c r="O57" s="7">
        <v>0.05</v>
      </c>
      <c r="P57" s="52">
        <v>0.09</v>
      </c>
      <c r="Q57" s="7">
        <v>0.09</v>
      </c>
      <c r="R57" s="7">
        <v>0.09</v>
      </c>
      <c r="S57" s="7">
        <v>0.05</v>
      </c>
      <c r="T57" s="52">
        <v>0.09</v>
      </c>
      <c r="U57" s="7">
        <v>0.09</v>
      </c>
      <c r="V57" s="7">
        <v>0.09</v>
      </c>
      <c r="W57" s="7">
        <v>0.05</v>
      </c>
      <c r="X57" s="52"/>
    </row>
    <row r="58" spans="1:24" s="100" customFormat="1" ht="14.25" customHeight="1" x14ac:dyDescent="0.35">
      <c r="A58" s="3"/>
      <c r="B58" s="3"/>
      <c r="C58" s="8" t="s">
        <v>86</v>
      </c>
      <c r="D58" s="52">
        <v>0.03</v>
      </c>
      <c r="E58" s="52">
        <v>7.0000000000000007E-2</v>
      </c>
      <c r="F58" s="52">
        <v>0.06</v>
      </c>
      <c r="G58" s="3"/>
      <c r="H58" s="3"/>
      <c r="I58" s="3"/>
      <c r="J58" s="3"/>
      <c r="K58" s="45"/>
      <c r="L58" s="45"/>
      <c r="M58" s="8" t="s">
        <v>86</v>
      </c>
      <c r="N58" s="7">
        <v>7.0000000000000007E-2</v>
      </c>
      <c r="O58" s="7">
        <v>0.05</v>
      </c>
      <c r="P58" s="52">
        <v>7.0000000000000007E-2</v>
      </c>
      <c r="Q58" s="7">
        <v>7.0000000000000007E-2</v>
      </c>
      <c r="R58" s="7">
        <v>7.0000000000000007E-2</v>
      </c>
      <c r="S58" s="7">
        <v>0.05</v>
      </c>
      <c r="T58" s="52">
        <v>7.0000000000000007E-2</v>
      </c>
      <c r="U58" s="7">
        <v>7.0000000000000007E-2</v>
      </c>
      <c r="V58" s="7">
        <v>7.0000000000000007E-2</v>
      </c>
      <c r="W58" s="7">
        <v>0.05</v>
      </c>
      <c r="X58" s="52"/>
    </row>
    <row r="59" spans="1:24" s="100" customFormat="1" ht="14.25" customHeight="1" x14ac:dyDescent="0.35">
      <c r="A59" s="3"/>
      <c r="B59" s="3"/>
      <c r="C59" s="8"/>
      <c r="D59" s="52"/>
      <c r="E59" s="52"/>
      <c r="F59" s="52"/>
      <c r="G59" s="3"/>
      <c r="H59" s="3"/>
      <c r="I59" s="3"/>
      <c r="J59" s="3"/>
      <c r="K59" s="45"/>
      <c r="L59" s="45"/>
      <c r="M59" s="8" t="s">
        <v>128</v>
      </c>
      <c r="N59" s="52">
        <v>7.0000000000000007E-2</v>
      </c>
      <c r="O59" s="52">
        <v>0.06</v>
      </c>
      <c r="P59" s="52">
        <v>7.0000000000000007E-2</v>
      </c>
      <c r="Q59" s="52">
        <v>7.0000000000000007E-2</v>
      </c>
      <c r="R59" s="52">
        <v>7.0000000000000007E-2</v>
      </c>
      <c r="S59" s="52">
        <v>0.06</v>
      </c>
      <c r="T59" s="52">
        <v>7.0000000000000007E-2</v>
      </c>
      <c r="U59" s="52">
        <v>7.0000000000000007E-2</v>
      </c>
      <c r="V59" s="52">
        <v>7.0000000000000007E-2</v>
      </c>
      <c r="W59" s="52">
        <v>0.06</v>
      </c>
      <c r="X59" s="52"/>
    </row>
    <row r="60" spans="1:24" s="100" customFormat="1" ht="14.25" customHeight="1" x14ac:dyDescent="0.35">
      <c r="A60" s="3"/>
      <c r="B60" s="3"/>
      <c r="C60" s="8"/>
      <c r="D60" s="52"/>
      <c r="E60" s="52"/>
      <c r="F60" s="52"/>
      <c r="G60" s="3"/>
      <c r="H60" s="3"/>
      <c r="I60" s="3"/>
      <c r="J60" s="3"/>
      <c r="K60" s="45"/>
      <c r="L60" s="45"/>
      <c r="M60" s="8" t="s">
        <v>129</v>
      </c>
      <c r="N60" s="52">
        <v>0.08</v>
      </c>
      <c r="O60" s="52">
        <v>0.06</v>
      </c>
      <c r="P60" s="52">
        <v>0.08</v>
      </c>
      <c r="Q60" s="52">
        <v>0.08</v>
      </c>
      <c r="R60" s="52">
        <v>0.08</v>
      </c>
      <c r="S60" s="52">
        <v>0.06</v>
      </c>
      <c r="T60" s="52">
        <v>0.08</v>
      </c>
      <c r="U60" s="52">
        <v>0.08</v>
      </c>
      <c r="V60" s="52">
        <v>0.08</v>
      </c>
      <c r="W60" s="52">
        <v>0.06</v>
      </c>
      <c r="X60" s="52"/>
    </row>
    <row r="61" spans="1:24" s="100" customFormat="1" ht="14.25" customHeight="1" x14ac:dyDescent="0.35">
      <c r="A61" s="3"/>
      <c r="B61" s="3"/>
      <c r="C61" s="8"/>
      <c r="D61" s="52"/>
      <c r="E61" s="52"/>
      <c r="F61" s="52"/>
      <c r="G61" s="3"/>
      <c r="H61" s="3"/>
      <c r="I61" s="3"/>
      <c r="J61" s="3"/>
      <c r="K61" s="45"/>
      <c r="L61" s="45"/>
      <c r="M61" s="8" t="s">
        <v>130</v>
      </c>
      <c r="N61" s="52">
        <v>7.0000000000000007E-2</v>
      </c>
      <c r="O61" s="52">
        <v>7.0000000000000007E-2</v>
      </c>
      <c r="P61" s="52">
        <v>7.0000000000000007E-2</v>
      </c>
      <c r="Q61" s="52">
        <v>7.0000000000000007E-2</v>
      </c>
      <c r="R61" s="52">
        <v>7.0000000000000007E-2</v>
      </c>
      <c r="S61" s="52">
        <v>7.0000000000000007E-2</v>
      </c>
      <c r="T61" s="52">
        <v>7.0000000000000007E-2</v>
      </c>
      <c r="U61" s="52">
        <v>7.0000000000000007E-2</v>
      </c>
      <c r="V61" s="52">
        <v>7.0000000000000007E-2</v>
      </c>
      <c r="W61" s="52">
        <v>7.0000000000000007E-2</v>
      </c>
      <c r="X61" s="52"/>
    </row>
    <row r="62" spans="1:24" s="100" customFormat="1" ht="14.25" customHeight="1" x14ac:dyDescent="0.35">
      <c r="A62" s="3"/>
      <c r="B62" s="3"/>
      <c r="C62" s="8"/>
      <c r="D62" s="52"/>
      <c r="E62" s="52"/>
      <c r="F62" s="52"/>
      <c r="G62" s="3"/>
      <c r="H62" s="3"/>
      <c r="I62" s="3"/>
      <c r="J62" s="3"/>
      <c r="K62" s="45"/>
      <c r="L62" s="45"/>
      <c r="M62" s="8" t="s">
        <v>131</v>
      </c>
      <c r="N62" s="52">
        <v>7.0000000000000007E-2</v>
      </c>
      <c r="O62" s="52">
        <v>7.0000000000000007E-2</v>
      </c>
      <c r="P62" s="52">
        <v>7.0000000000000007E-2</v>
      </c>
      <c r="Q62" s="52">
        <v>7.0000000000000007E-2</v>
      </c>
      <c r="R62" s="52">
        <v>7.0000000000000007E-2</v>
      </c>
      <c r="S62" s="52">
        <v>7.0000000000000007E-2</v>
      </c>
      <c r="T62" s="52">
        <v>7.0000000000000007E-2</v>
      </c>
      <c r="U62" s="52">
        <v>7.0000000000000007E-2</v>
      </c>
      <c r="V62" s="52">
        <v>7.0000000000000007E-2</v>
      </c>
      <c r="W62" s="52">
        <v>7.0000000000000007E-2</v>
      </c>
      <c r="X62" s="52"/>
    </row>
    <row r="63" spans="1:24" s="100" customFormat="1" ht="14.25" customHeight="1" x14ac:dyDescent="0.35">
      <c r="A63" s="3"/>
      <c r="B63" s="3"/>
      <c r="C63" s="8"/>
      <c r="D63" s="52"/>
      <c r="E63" s="52"/>
      <c r="F63" s="52"/>
      <c r="G63" s="3"/>
      <c r="H63" s="3"/>
      <c r="I63" s="3"/>
      <c r="J63" s="3"/>
      <c r="K63" s="45"/>
      <c r="L63" s="45"/>
      <c r="M63" s="8" t="s">
        <v>136</v>
      </c>
      <c r="N63" s="52">
        <v>0.06</v>
      </c>
      <c r="O63" s="52">
        <v>0.09</v>
      </c>
      <c r="P63" s="52">
        <v>0.1</v>
      </c>
      <c r="Q63" s="52">
        <v>0.06</v>
      </c>
      <c r="R63" s="52">
        <v>0.06</v>
      </c>
      <c r="S63" s="52">
        <v>0.09</v>
      </c>
      <c r="T63" s="52">
        <v>0.1</v>
      </c>
      <c r="U63" s="52">
        <v>0.06</v>
      </c>
      <c r="V63" s="52">
        <v>0.06</v>
      </c>
      <c r="W63" s="52">
        <v>0.09</v>
      </c>
      <c r="X63" s="52"/>
    </row>
    <row r="64" spans="1:24" s="100" customFormat="1" ht="14.25" customHeight="1" x14ac:dyDescent="0.35">
      <c r="A64" s="3"/>
      <c r="B64" s="3"/>
      <c r="C64" s="8"/>
      <c r="D64" s="52"/>
      <c r="E64" s="52"/>
      <c r="F64" s="52"/>
      <c r="G64" s="3"/>
      <c r="H64" s="3"/>
      <c r="I64" s="3"/>
      <c r="J64" s="3"/>
      <c r="K64" s="3"/>
      <c r="L64" s="3"/>
      <c r="M64" s="8" t="s">
        <v>137</v>
      </c>
      <c r="N64" s="52">
        <v>0.06</v>
      </c>
      <c r="O64" s="52">
        <v>0.08</v>
      </c>
      <c r="P64" s="64">
        <v>0.09</v>
      </c>
      <c r="Q64" s="52">
        <v>0.06</v>
      </c>
      <c r="R64" s="52">
        <v>0.06</v>
      </c>
      <c r="S64" s="52">
        <v>0.08</v>
      </c>
      <c r="T64" s="64">
        <v>0.09</v>
      </c>
      <c r="U64" s="52">
        <v>0.06</v>
      </c>
      <c r="V64" s="52">
        <v>0.06</v>
      </c>
      <c r="W64" s="52">
        <v>0.08</v>
      </c>
      <c r="X64" s="64"/>
    </row>
    <row r="65" spans="1:24" s="100" customFormat="1" ht="14.25" customHeight="1" x14ac:dyDescent="0.35">
      <c r="A65" s="3"/>
      <c r="B65" s="3"/>
      <c r="F65" s="52"/>
      <c r="G65" s="3"/>
      <c r="H65" s="3"/>
      <c r="I65" s="3"/>
      <c r="J65" s="3"/>
      <c r="K65" s="3"/>
      <c r="L65" s="3"/>
      <c r="M65" s="8" t="s">
        <v>138</v>
      </c>
      <c r="N65" s="52">
        <v>7.0000000000000007E-2</v>
      </c>
      <c r="O65" s="52">
        <v>0.08</v>
      </c>
      <c r="P65" s="52">
        <v>0.09</v>
      </c>
      <c r="Q65" s="52">
        <v>7.0000000000000007E-2</v>
      </c>
      <c r="R65" s="52">
        <v>7.0000000000000007E-2</v>
      </c>
      <c r="S65" s="52">
        <v>0.08</v>
      </c>
      <c r="T65" s="52">
        <v>0.09</v>
      </c>
      <c r="U65" s="52">
        <v>7.0000000000000007E-2</v>
      </c>
      <c r="V65" s="52">
        <v>7.0000000000000007E-2</v>
      </c>
      <c r="W65" s="52">
        <v>0.08</v>
      </c>
      <c r="X65" s="52"/>
    </row>
    <row r="66" spans="1:24" s="100" customFormat="1" ht="14.25" customHeight="1" x14ac:dyDescent="0.35">
      <c r="A66" s="3"/>
      <c r="B66" s="3"/>
      <c r="F66" s="3"/>
      <c r="G66" s="3"/>
      <c r="H66" s="3"/>
      <c r="I66" s="3"/>
      <c r="J66" s="3"/>
      <c r="K66" s="3"/>
      <c r="L66" s="3"/>
      <c r="M66" s="8" t="s">
        <v>139</v>
      </c>
      <c r="N66" s="52">
        <v>7.0000000000000007E-2</v>
      </c>
      <c r="O66" s="52">
        <v>0.09</v>
      </c>
      <c r="P66" s="52">
        <v>7.0000000000000007E-2</v>
      </c>
      <c r="Q66" s="52">
        <v>7.0000000000000007E-2</v>
      </c>
      <c r="R66" s="52">
        <v>7.0000000000000007E-2</v>
      </c>
      <c r="S66" s="52">
        <v>0.09</v>
      </c>
      <c r="T66" s="52">
        <v>7.0000000000000007E-2</v>
      </c>
      <c r="U66" s="52">
        <v>7.0000000000000007E-2</v>
      </c>
      <c r="V66" s="52">
        <v>7.0000000000000007E-2</v>
      </c>
      <c r="W66" s="52">
        <v>0.09</v>
      </c>
      <c r="X66" s="52"/>
    </row>
    <row r="67" spans="1:24" s="100" customFormat="1" ht="14.25" customHeight="1" x14ac:dyDescent="0.35">
      <c r="A67" s="3"/>
      <c r="B67" s="3"/>
      <c r="F67" s="3"/>
      <c r="G67" s="3"/>
      <c r="H67" s="3"/>
      <c r="I67" s="3"/>
      <c r="J67" s="3"/>
      <c r="K67" s="3"/>
      <c r="L67" s="3"/>
      <c r="M67" s="8" t="s">
        <v>140</v>
      </c>
      <c r="N67" s="52">
        <v>0.06</v>
      </c>
      <c r="O67" s="52">
        <v>7.0000000000000007E-2</v>
      </c>
      <c r="P67" s="52">
        <v>7.0000000000000007E-2</v>
      </c>
      <c r="Q67" s="52">
        <v>0.06</v>
      </c>
      <c r="R67" s="52">
        <v>0.06</v>
      </c>
      <c r="S67" s="52">
        <v>7.0000000000000007E-2</v>
      </c>
      <c r="T67" s="52">
        <v>7.0000000000000007E-2</v>
      </c>
      <c r="U67" s="52">
        <v>0.06</v>
      </c>
      <c r="V67" s="52">
        <v>0.06</v>
      </c>
      <c r="W67" s="52">
        <v>7.0000000000000007E-2</v>
      </c>
      <c r="X67" s="52"/>
    </row>
    <row r="68" spans="1:24" s="100" customFormat="1" ht="14.25" customHeight="1" x14ac:dyDescent="0.35">
      <c r="A68" s="3"/>
      <c r="B68" s="3"/>
      <c r="F68" s="3"/>
      <c r="G68" s="3"/>
      <c r="H68" s="3"/>
      <c r="I68" s="3"/>
      <c r="J68" s="3"/>
      <c r="K68" s="3"/>
      <c r="L68" s="3"/>
      <c r="M68" s="8" t="s">
        <v>141</v>
      </c>
      <c r="N68" s="52">
        <v>0.03</v>
      </c>
      <c r="O68" s="52">
        <v>0.08</v>
      </c>
      <c r="P68" s="52">
        <v>0.08</v>
      </c>
      <c r="Q68" s="52">
        <v>0.03</v>
      </c>
      <c r="R68" s="52">
        <v>0.03</v>
      </c>
      <c r="S68" s="52">
        <v>0.08</v>
      </c>
      <c r="T68" s="52">
        <v>0.08</v>
      </c>
      <c r="U68" s="52">
        <v>0.03</v>
      </c>
      <c r="V68" s="52">
        <v>0.03</v>
      </c>
      <c r="W68" s="52">
        <v>0.08</v>
      </c>
      <c r="X68" s="52"/>
    </row>
    <row r="69" spans="1:24" s="100" customFormat="1" ht="14.25" customHeight="1" x14ac:dyDescent="0.35">
      <c r="A69" s="3"/>
      <c r="B69" s="3"/>
      <c r="F69" s="3"/>
      <c r="G69" s="3"/>
      <c r="H69" s="3"/>
      <c r="I69" s="3"/>
      <c r="J69" s="3"/>
      <c r="K69" s="3"/>
      <c r="L69" s="3"/>
      <c r="M69" s="8" t="s">
        <v>142</v>
      </c>
      <c r="N69" s="52">
        <v>0.03</v>
      </c>
      <c r="O69" s="52">
        <v>0.09</v>
      </c>
      <c r="P69" s="52">
        <v>7.0000000000000007E-2</v>
      </c>
      <c r="Q69" s="52">
        <v>0.03</v>
      </c>
      <c r="R69" s="52">
        <v>0.03</v>
      </c>
      <c r="S69" s="52">
        <v>0.09</v>
      </c>
      <c r="T69" s="52">
        <v>7.0000000000000007E-2</v>
      </c>
      <c r="U69" s="52">
        <v>0.03</v>
      </c>
      <c r="V69" s="52">
        <v>0.03</v>
      </c>
      <c r="W69" s="52">
        <v>0.09</v>
      </c>
      <c r="X69" s="52"/>
    </row>
    <row r="70" spans="1:24" s="100" customFormat="1" ht="14.25" customHeight="1" x14ac:dyDescent="0.3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52"/>
      <c r="Q70" s="3"/>
      <c r="R70" s="3"/>
      <c r="S70" s="3"/>
      <c r="T70" s="3"/>
      <c r="U70" s="3"/>
      <c r="V70" s="3"/>
      <c r="W70" s="3"/>
      <c r="X70" s="3"/>
    </row>
    <row r="71" spans="1:24" ht="14.25" customHeight="1" x14ac:dyDescent="0.3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</row>
    <row r="72" spans="1:24" ht="14.25" customHeight="1" x14ac:dyDescent="0.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</row>
    <row r="73" spans="1:24" ht="14.25" customHeight="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</row>
    <row r="74" spans="1:24" ht="14.25" customHeight="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</row>
    <row r="75" spans="1:24" ht="14.25" customHeight="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</row>
    <row r="76" spans="1:24" ht="14.25" customHeight="1" x14ac:dyDescent="0.3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45"/>
      <c r="N76" s="50"/>
      <c r="O76" s="50"/>
      <c r="P76" s="3"/>
      <c r="Q76" s="3"/>
      <c r="R76" s="3"/>
      <c r="S76" s="3"/>
      <c r="T76" s="3"/>
      <c r="U76" s="3"/>
      <c r="V76" s="3"/>
      <c r="W76" s="3"/>
      <c r="X76" s="3"/>
    </row>
    <row r="77" spans="1:24" ht="14.25" customHeight="1" x14ac:dyDescent="0.35">
      <c r="A77" s="3"/>
      <c r="B77" s="3"/>
      <c r="C77" s="45"/>
      <c r="D77" s="52"/>
      <c r="E77" s="52"/>
      <c r="F77" s="3"/>
      <c r="G77" s="3"/>
      <c r="H77" s="3"/>
      <c r="I77" s="3"/>
      <c r="J77" s="3"/>
      <c r="K77" s="45"/>
      <c r="L77" s="45"/>
      <c r="M77" s="45"/>
      <c r="N77" s="45"/>
      <c r="O77" s="45"/>
      <c r="P77" s="3"/>
      <c r="Q77" s="3"/>
      <c r="R77" s="3"/>
      <c r="S77" s="3"/>
      <c r="T77" s="3"/>
      <c r="U77" s="3"/>
      <c r="V77" s="3"/>
      <c r="W77" s="3"/>
      <c r="X77" s="3"/>
    </row>
    <row r="78" spans="1:24" ht="14.25" customHeight="1" x14ac:dyDescent="0.35">
      <c r="A78" s="3"/>
      <c r="B78" s="3"/>
      <c r="C78" s="45"/>
      <c r="D78" s="52"/>
      <c r="E78" s="52"/>
      <c r="F78" s="3"/>
      <c r="G78" s="3"/>
      <c r="H78" s="3"/>
      <c r="I78" s="3"/>
      <c r="J78" s="3"/>
      <c r="K78" s="45"/>
      <c r="L78" s="45"/>
      <c r="M78" s="45"/>
      <c r="N78" s="45"/>
      <c r="O78" s="45"/>
      <c r="P78" s="3"/>
      <c r="Q78" s="3"/>
      <c r="R78" s="3"/>
      <c r="S78" s="3"/>
      <c r="T78" s="3"/>
      <c r="U78" s="3"/>
      <c r="V78" s="3"/>
      <c r="W78" s="3"/>
      <c r="X78" s="3"/>
    </row>
    <row r="79" spans="1:24" ht="14.25" customHeight="1" x14ac:dyDescent="0.35">
      <c r="A79" s="3"/>
      <c r="B79" s="3"/>
      <c r="C79" s="45"/>
      <c r="D79" s="52"/>
      <c r="E79" s="52"/>
      <c r="F79" s="3"/>
      <c r="G79" s="3"/>
      <c r="H79" s="3"/>
      <c r="I79" s="3"/>
      <c r="J79" s="3"/>
      <c r="K79" s="45"/>
      <c r="L79" s="45"/>
      <c r="M79" s="45"/>
      <c r="N79" s="50"/>
      <c r="O79" s="50"/>
      <c r="P79" s="3"/>
      <c r="Q79" s="3"/>
      <c r="R79" s="3"/>
      <c r="S79" s="3"/>
      <c r="T79" s="3"/>
      <c r="U79" s="3"/>
      <c r="V79" s="3"/>
      <c r="W79" s="3"/>
      <c r="X79" s="3"/>
    </row>
    <row r="80" spans="1:24" ht="14.25" customHeight="1" x14ac:dyDescent="0.35">
      <c r="A80" s="3"/>
      <c r="B80" s="3"/>
      <c r="C80" s="45"/>
      <c r="D80" s="52"/>
      <c r="E80" s="52"/>
      <c r="F80" s="3"/>
      <c r="G80" s="3"/>
      <c r="H80" s="3"/>
      <c r="I80" s="3"/>
      <c r="J80" s="3"/>
      <c r="K80" s="45"/>
      <c r="L80" s="45"/>
      <c r="M80" s="45"/>
      <c r="N80" s="52"/>
      <c r="O80" s="52"/>
      <c r="P80" s="3"/>
      <c r="Q80" s="3"/>
      <c r="R80" s="3"/>
      <c r="S80" s="3"/>
      <c r="T80" s="3"/>
      <c r="U80" s="3"/>
      <c r="V80" s="3"/>
      <c r="W80" s="3"/>
      <c r="X80" s="3"/>
    </row>
    <row r="81" spans="1:24" ht="14.25" customHeight="1" x14ac:dyDescent="0.35">
      <c r="A81" s="3"/>
      <c r="B81" s="3"/>
      <c r="C81" s="3"/>
      <c r="D81" s="3"/>
      <c r="E81" s="3"/>
      <c r="F81" s="3"/>
      <c r="G81" s="3"/>
      <c r="H81" s="3"/>
      <c r="I81" s="3"/>
      <c r="J81" s="3"/>
      <c r="K81" s="45"/>
      <c r="L81" s="45"/>
      <c r="M81" s="45"/>
      <c r="N81" s="52"/>
      <c r="O81" s="52"/>
      <c r="P81" s="3"/>
      <c r="Q81" s="3"/>
      <c r="R81" s="3"/>
      <c r="S81" s="3"/>
      <c r="T81" s="3"/>
      <c r="U81" s="3"/>
      <c r="V81" s="3"/>
      <c r="W81" s="3"/>
      <c r="X81" s="3"/>
    </row>
    <row r="82" spans="1:24" ht="14.25" customHeight="1" x14ac:dyDescent="0.35">
      <c r="A82" s="3"/>
      <c r="B82" s="3"/>
      <c r="C82" s="3"/>
      <c r="D82" s="3"/>
      <c r="E82" s="3"/>
      <c r="F82" s="3"/>
      <c r="G82" s="3"/>
      <c r="H82" s="3"/>
      <c r="I82" s="3"/>
      <c r="J82" s="3"/>
      <c r="K82" s="45"/>
      <c r="L82" s="45"/>
      <c r="M82" s="45"/>
      <c r="N82" s="52"/>
      <c r="O82" s="52"/>
      <c r="P82" s="3"/>
      <c r="Q82" s="3"/>
      <c r="R82" s="3"/>
      <c r="S82" s="3"/>
      <c r="T82" s="3"/>
      <c r="U82" s="3"/>
      <c r="V82" s="3"/>
      <c r="W82" s="3"/>
      <c r="X82" s="3"/>
    </row>
    <row r="83" spans="1:24" ht="14.25" customHeight="1" x14ac:dyDescent="0.35">
      <c r="A83" s="3"/>
      <c r="B83" s="3"/>
      <c r="C83" s="3"/>
      <c r="D83" s="3"/>
      <c r="E83" s="3"/>
      <c r="F83" s="3"/>
      <c r="G83" s="3"/>
      <c r="H83" s="3"/>
      <c r="I83" s="3"/>
      <c r="J83" s="3"/>
      <c r="K83" s="45"/>
      <c r="L83" s="45"/>
      <c r="M83" s="45"/>
      <c r="N83" s="52"/>
      <c r="O83" s="52"/>
      <c r="P83" s="3"/>
      <c r="Q83" s="3"/>
      <c r="R83" s="3"/>
      <c r="S83" s="3"/>
      <c r="T83" s="3"/>
      <c r="U83" s="3"/>
      <c r="V83" s="3"/>
      <c r="W83" s="3"/>
      <c r="X83" s="3"/>
    </row>
    <row r="84" spans="1:24" ht="14.25" customHeight="1" x14ac:dyDescent="0.35">
      <c r="A84" s="3"/>
      <c r="B84" s="3"/>
      <c r="C84" s="3"/>
      <c r="D84" s="3"/>
      <c r="E84" s="3"/>
      <c r="F84" s="3"/>
      <c r="G84" s="3"/>
      <c r="H84" s="3"/>
      <c r="I84" s="3"/>
      <c r="J84" s="3"/>
      <c r="K84" s="45"/>
      <c r="L84" s="45"/>
      <c r="M84" s="45"/>
      <c r="N84" s="52"/>
      <c r="O84" s="52"/>
      <c r="P84" s="3"/>
      <c r="Q84" s="3"/>
      <c r="R84" s="3"/>
      <c r="S84" s="3"/>
      <c r="T84" s="3"/>
      <c r="U84" s="3"/>
      <c r="V84" s="3"/>
      <c r="W84" s="3"/>
      <c r="X84" s="3"/>
    </row>
    <row r="85" spans="1:24" ht="14.25" customHeight="1" x14ac:dyDescent="0.35">
      <c r="A85" s="3"/>
      <c r="B85" s="3"/>
      <c r="C85" s="3"/>
      <c r="D85" s="3"/>
      <c r="E85" s="3"/>
      <c r="F85" s="3"/>
      <c r="G85" s="3"/>
      <c r="H85" s="3"/>
      <c r="I85" s="3"/>
      <c r="J85" s="3"/>
      <c r="K85" s="45"/>
      <c r="L85" s="45"/>
      <c r="M85" s="45"/>
      <c r="N85" s="52"/>
      <c r="O85" s="52"/>
      <c r="P85" s="3"/>
      <c r="Q85" s="3"/>
      <c r="R85" s="3"/>
      <c r="S85" s="3"/>
      <c r="T85" s="3"/>
      <c r="U85" s="3"/>
      <c r="V85" s="3"/>
      <c r="W85" s="3"/>
      <c r="X85" s="3"/>
    </row>
    <row r="86" spans="1:24" ht="14.25" customHeight="1" x14ac:dyDescent="0.35">
      <c r="A86" s="3"/>
      <c r="B86" s="3"/>
      <c r="C86" s="3"/>
      <c r="D86" s="3"/>
      <c r="E86" s="3"/>
      <c r="F86" s="3"/>
      <c r="G86" s="3"/>
      <c r="H86" s="3"/>
      <c r="I86" s="3"/>
      <c r="J86" s="3"/>
      <c r="K86" s="45"/>
      <c r="L86" s="45"/>
      <c r="M86" s="45"/>
      <c r="N86" s="52"/>
      <c r="O86" s="52"/>
      <c r="P86" s="3"/>
      <c r="Q86" s="3"/>
      <c r="R86" s="3"/>
      <c r="S86" s="3"/>
      <c r="T86" s="3"/>
      <c r="U86" s="3"/>
      <c r="V86" s="3"/>
      <c r="W86" s="3"/>
      <c r="X86" s="3"/>
    </row>
    <row r="87" spans="1:24" ht="14.25" customHeight="1" x14ac:dyDescent="0.35">
      <c r="A87" s="3"/>
      <c r="B87" s="3"/>
      <c r="C87" s="3"/>
      <c r="D87" s="3"/>
      <c r="E87" s="3"/>
      <c r="F87" s="3"/>
      <c r="G87" s="3"/>
      <c r="H87" s="3"/>
      <c r="I87" s="3"/>
      <c r="J87" s="3"/>
      <c r="K87" s="45"/>
      <c r="L87" s="45"/>
      <c r="M87" s="45"/>
      <c r="N87" s="52"/>
      <c r="O87" s="52"/>
      <c r="P87" s="3"/>
      <c r="Q87" s="3"/>
      <c r="R87" s="3"/>
      <c r="S87" s="3"/>
      <c r="T87" s="3"/>
      <c r="U87" s="3"/>
      <c r="V87" s="3"/>
      <c r="W87" s="3"/>
      <c r="X87" s="3"/>
    </row>
    <row r="88" spans="1:24" ht="14.25" customHeight="1" x14ac:dyDescent="0.35">
      <c r="A88" s="3"/>
      <c r="B88" s="3"/>
      <c r="C88" s="3"/>
      <c r="D88" s="3"/>
      <c r="E88" s="3"/>
      <c r="F88" s="3"/>
      <c r="G88" s="3"/>
      <c r="H88" s="3"/>
      <c r="I88" s="3"/>
      <c r="J88" s="3"/>
      <c r="K88" s="45"/>
      <c r="L88" s="45"/>
      <c r="M88" s="45"/>
      <c r="N88" s="52"/>
      <c r="O88" s="52"/>
      <c r="P88" s="3"/>
      <c r="Q88" s="3"/>
      <c r="R88" s="3"/>
      <c r="S88" s="3"/>
      <c r="T88" s="3"/>
      <c r="U88" s="3"/>
      <c r="V88" s="3"/>
      <c r="W88" s="3"/>
      <c r="X88" s="3"/>
    </row>
    <row r="89" spans="1:24" ht="14.25" customHeight="1" x14ac:dyDescent="0.35">
      <c r="A89" s="3"/>
      <c r="B89" s="3"/>
      <c r="C89" s="3"/>
      <c r="D89" s="3"/>
      <c r="E89" s="3"/>
      <c r="F89" s="3"/>
      <c r="G89" s="3"/>
      <c r="H89" s="3"/>
      <c r="I89" s="3"/>
      <c r="J89" s="3"/>
      <c r="K89" s="45"/>
      <c r="L89" s="45"/>
      <c r="M89" s="45"/>
      <c r="N89" s="52"/>
      <c r="O89" s="52"/>
      <c r="P89" s="3"/>
      <c r="Q89" s="3"/>
      <c r="R89" s="3"/>
      <c r="S89" s="3"/>
      <c r="T89" s="3"/>
      <c r="U89" s="3"/>
      <c r="V89" s="3"/>
      <c r="W89" s="3"/>
      <c r="X89" s="3"/>
    </row>
    <row r="90" spans="1:24" ht="14.25" customHeight="1" x14ac:dyDescent="0.35">
      <c r="A90" s="3"/>
      <c r="B90" s="3"/>
      <c r="C90" s="3"/>
      <c r="D90" s="3"/>
      <c r="E90" s="3"/>
      <c r="F90" s="3"/>
      <c r="G90" s="3"/>
      <c r="H90" s="3"/>
      <c r="I90" s="3"/>
      <c r="J90" s="3"/>
      <c r="K90" s="45"/>
      <c r="L90" s="45"/>
      <c r="M90" s="45"/>
      <c r="N90" s="45"/>
      <c r="O90" s="45"/>
      <c r="P90" s="3"/>
      <c r="Q90" s="3"/>
      <c r="R90" s="3"/>
      <c r="S90" s="3"/>
      <c r="T90" s="3"/>
      <c r="U90" s="3"/>
      <c r="V90" s="3"/>
      <c r="W90" s="3"/>
      <c r="X90" s="3"/>
    </row>
    <row r="91" spans="1:24" ht="14.25" customHeight="1" x14ac:dyDescent="0.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</row>
    <row r="92" spans="1:24" ht="14.25" customHeight="1" x14ac:dyDescent="0.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</row>
    <row r="93" spans="1:24" ht="14.25" customHeight="1" x14ac:dyDescent="0.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</row>
    <row r="94" spans="1:24" ht="14.25" customHeight="1" x14ac:dyDescent="0.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</row>
    <row r="95" spans="1:24" s="213" customFormat="1" ht="14.25" customHeight="1" x14ac:dyDescent="0.35">
      <c r="A95" s="211"/>
      <c r="B95" s="211"/>
      <c r="C95" s="211"/>
      <c r="D95" s="211"/>
      <c r="E95" s="211"/>
      <c r="F95" s="211"/>
      <c r="G95" s="211"/>
      <c r="H95" s="211"/>
      <c r="I95" s="211"/>
      <c r="J95" s="211"/>
      <c r="K95" s="211"/>
      <c r="L95" s="211"/>
      <c r="M95" s="160" t="s">
        <v>143</v>
      </c>
      <c r="N95" s="211"/>
      <c r="O95" s="211"/>
      <c r="P95" s="211"/>
      <c r="Q95" s="211"/>
      <c r="R95" s="211"/>
      <c r="S95" s="211"/>
      <c r="T95" s="211"/>
      <c r="U95" s="211"/>
      <c r="V95" s="211"/>
      <c r="W95" s="211"/>
      <c r="X95" s="211"/>
    </row>
    <row r="96" spans="1:24" ht="14.25" customHeight="1" x14ac:dyDescent="0.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</row>
    <row r="97" spans="1:24" ht="14.25" customHeight="1" x14ac:dyDescent="0.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</row>
    <row r="98" spans="1:24" ht="14.25" customHeight="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</row>
    <row r="99" spans="1:24" ht="14.25" customHeight="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</row>
    <row r="100" spans="1:24" ht="14.25" customHeight="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</row>
    <row r="101" spans="1:24" ht="14.25" customHeight="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</row>
    <row r="102" spans="1:24" ht="14.25" customHeight="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</row>
    <row r="103" spans="1:24" ht="14.25" customHeight="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</row>
    <row r="104" spans="1:24" ht="14.25" customHeight="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</row>
    <row r="105" spans="1:24" ht="14.25" customHeight="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</row>
    <row r="106" spans="1:24" ht="14.25" customHeight="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</row>
    <row r="107" spans="1:24" ht="14.25" customHeight="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</row>
    <row r="108" spans="1:24" ht="14.25" customHeight="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</row>
    <row r="109" spans="1:24" ht="14.25" customHeight="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</row>
    <row r="110" spans="1:24" ht="14.25" customHeight="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</row>
    <row r="111" spans="1:24" ht="14.25" customHeight="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</row>
    <row r="112" spans="1:24" ht="14.25" customHeight="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</row>
    <row r="113" spans="1:24" ht="14.25" customHeight="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</row>
    <row r="114" spans="1:24" ht="14.25" customHeight="1" x14ac:dyDescent="0.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</row>
    <row r="115" spans="1:24" ht="14.25" customHeight="1" x14ac:dyDescent="0.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</row>
    <row r="116" spans="1:24" ht="14.25" customHeight="1" x14ac:dyDescent="0.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</row>
    <row r="117" spans="1:24" ht="14.25" customHeight="1" x14ac:dyDescent="0.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</row>
  </sheetData>
  <pageMargins left="0.7" right="0.7" top="0.75" bottom="0.75" header="0" footer="0"/>
  <pageSetup paperSize="9" orientation="portrait" r:id="rId1"/>
  <ignoredErrors>
    <ignoredError sqref="N8" numberStoredAsText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 summaryRight="0"/>
  </sheetPr>
  <dimension ref="A1:R223"/>
  <sheetViews>
    <sheetView showGridLines="0" topLeftCell="A187" zoomScale="55" zoomScaleNormal="55" workbookViewId="0">
      <selection activeCell="P209" sqref="P209"/>
    </sheetView>
  </sheetViews>
  <sheetFormatPr baseColWidth="10" defaultColWidth="12.4609375" defaultRowHeight="15.75" customHeight="1" x14ac:dyDescent="0.3"/>
  <cols>
    <col min="1" max="18" width="10.4609375" customWidth="1"/>
  </cols>
  <sheetData>
    <row r="1" spans="1:18" ht="14.25" customHeigh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</row>
    <row r="2" spans="1:18" ht="14.25" customHeigh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</row>
    <row r="3" spans="1:18" ht="14.25" customHeigh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</row>
    <row r="4" spans="1:18" ht="14.25" customHeight="1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</row>
    <row r="5" spans="1:18" ht="14.25" customHeight="1" x14ac:dyDescent="0.3">
      <c r="A5" s="3"/>
      <c r="B5" s="62" t="s">
        <v>144</v>
      </c>
      <c r="C5" s="3"/>
      <c r="D5" s="3"/>
      <c r="E5" s="3"/>
      <c r="F5" s="3"/>
      <c r="G5" s="3"/>
      <c r="H5" s="3"/>
      <c r="I5" s="3"/>
      <c r="J5" s="62" t="s">
        <v>145</v>
      </c>
      <c r="K5" s="3"/>
      <c r="L5" s="3"/>
      <c r="M5" s="3"/>
      <c r="N5" s="3"/>
      <c r="O5" s="3"/>
      <c r="P5" s="3"/>
      <c r="Q5" s="3"/>
      <c r="R5" s="3"/>
    </row>
    <row r="6" spans="1:18" ht="14.25" customHeight="1" x14ac:dyDescent="0.35">
      <c r="A6" s="45"/>
      <c r="B6" s="45"/>
      <c r="C6" s="45"/>
      <c r="D6" s="45"/>
      <c r="E6" s="45"/>
      <c r="F6" s="3"/>
      <c r="G6" s="45"/>
      <c r="H6" s="45"/>
      <c r="I6" s="3"/>
      <c r="J6" s="3"/>
      <c r="K6" s="3"/>
      <c r="L6" s="3"/>
      <c r="M6" s="3"/>
      <c r="N6" s="3"/>
      <c r="O6" s="3"/>
      <c r="P6" s="3"/>
      <c r="Q6" s="3"/>
      <c r="R6" s="3"/>
    </row>
    <row r="7" spans="1:18" ht="14.25" customHeight="1" x14ac:dyDescent="0.35">
      <c r="A7" s="45"/>
      <c r="B7" s="45"/>
      <c r="C7" s="68" t="s">
        <v>146</v>
      </c>
      <c r="D7" s="68" t="s">
        <v>147</v>
      </c>
      <c r="E7" s="45"/>
      <c r="F7" s="45"/>
      <c r="G7" s="45"/>
      <c r="H7" s="45"/>
      <c r="I7" s="3"/>
      <c r="J7" s="3"/>
      <c r="K7" s="59" t="s">
        <v>148</v>
      </c>
      <c r="L7" s="59" t="s">
        <v>149</v>
      </c>
      <c r="M7" s="59" t="s">
        <v>150</v>
      </c>
      <c r="N7" s="59" t="s">
        <v>151</v>
      </c>
      <c r="O7" s="59" t="s">
        <v>19</v>
      </c>
      <c r="P7" s="3"/>
      <c r="Q7" s="3"/>
    </row>
    <row r="8" spans="1:18" ht="14.25" customHeight="1" x14ac:dyDescent="0.35">
      <c r="A8" s="45"/>
      <c r="B8" s="72" t="s">
        <v>152</v>
      </c>
      <c r="C8" s="73">
        <v>15.4</v>
      </c>
      <c r="D8" s="52">
        <v>0.6</v>
      </c>
      <c r="E8" s="45"/>
      <c r="F8" s="45"/>
      <c r="G8" s="45"/>
      <c r="H8" s="45"/>
      <c r="I8" s="3"/>
      <c r="J8" s="51">
        <v>2024</v>
      </c>
      <c r="K8" s="74">
        <v>0</v>
      </c>
      <c r="L8" s="74">
        <v>0.01</v>
      </c>
      <c r="M8" s="74">
        <v>0</v>
      </c>
      <c r="N8" s="74">
        <v>0.09</v>
      </c>
      <c r="O8" s="74">
        <v>0.1</v>
      </c>
      <c r="P8" s="3"/>
      <c r="Q8" s="3"/>
    </row>
    <row r="9" spans="1:18" ht="14.25" customHeight="1" x14ac:dyDescent="0.35">
      <c r="A9" s="45"/>
      <c r="B9" s="72" t="s">
        <v>153</v>
      </c>
      <c r="C9" s="75">
        <v>17.399999999999999</v>
      </c>
      <c r="D9" s="52">
        <v>0.2</v>
      </c>
      <c r="E9" s="76"/>
      <c r="F9" s="77"/>
      <c r="G9" s="72"/>
      <c r="H9" s="45"/>
      <c r="I9" s="3"/>
      <c r="J9" s="51">
        <v>2025</v>
      </c>
      <c r="K9" s="74">
        <v>0.15</v>
      </c>
      <c r="L9" s="74">
        <v>0.05</v>
      </c>
      <c r="M9" s="74">
        <v>-0.01</v>
      </c>
      <c r="N9" s="74">
        <v>0.09</v>
      </c>
      <c r="O9" s="74">
        <v>0.3</v>
      </c>
      <c r="P9" s="3"/>
      <c r="Q9" s="3"/>
      <c r="R9" s="3"/>
    </row>
    <row r="10" spans="1:18" ht="14.25" customHeight="1" x14ac:dyDescent="0.35">
      <c r="A10" s="45"/>
      <c r="B10" s="72" t="s">
        <v>154</v>
      </c>
      <c r="C10" s="73">
        <v>18</v>
      </c>
      <c r="D10" s="52">
        <v>0.5</v>
      </c>
      <c r="E10" s="76"/>
      <c r="F10" s="78"/>
      <c r="G10" s="72"/>
      <c r="H10" s="45"/>
      <c r="I10" s="3"/>
      <c r="P10" s="3"/>
      <c r="Q10" s="3"/>
      <c r="R10" s="3"/>
    </row>
    <row r="11" spans="1:18" ht="14.25" customHeight="1" x14ac:dyDescent="0.35">
      <c r="A11" s="45"/>
      <c r="B11" s="45"/>
      <c r="C11" s="45"/>
      <c r="D11" s="45"/>
      <c r="E11" s="76"/>
      <c r="F11" s="77"/>
      <c r="G11" s="72"/>
      <c r="H11" s="45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18" ht="14.25" customHeight="1" x14ac:dyDescent="0.35">
      <c r="A12" s="45"/>
      <c r="B12" s="45"/>
      <c r="C12" s="45"/>
      <c r="D12" s="45"/>
      <c r="E12" s="45"/>
      <c r="F12" s="45"/>
      <c r="G12" s="45"/>
      <c r="H12" s="45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18" ht="14.25" customHeight="1" x14ac:dyDescent="0.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</row>
    <row r="14" spans="1:18" ht="14.25" customHeight="1" x14ac:dyDescent="0.3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</row>
    <row r="15" spans="1:18" ht="14.25" customHeight="1" x14ac:dyDescent="0.3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</row>
    <row r="16" spans="1:18" ht="14.25" customHeight="1" x14ac:dyDescent="0.3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</row>
    <row r="17" spans="1:18" ht="14.25" customHeight="1" x14ac:dyDescent="0.3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</row>
    <row r="18" spans="1:18" ht="14.25" customHeigh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</row>
    <row r="19" spans="1:18" ht="14.25" customHeight="1" x14ac:dyDescent="0.3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ht="14.25" customHeight="1" x14ac:dyDescent="0.3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ht="14.25" customHeight="1" x14ac:dyDescent="0.3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ht="14.25" customHeight="1" x14ac:dyDescent="0.3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ht="14.25" customHeight="1" x14ac:dyDescent="0.3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</row>
    <row r="24" spans="1:18" ht="14.25" customHeight="1" x14ac:dyDescent="0.3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45"/>
      <c r="P24" s="3"/>
      <c r="Q24" s="3"/>
      <c r="R24" s="3"/>
    </row>
    <row r="25" spans="1:18" ht="14.25" customHeigh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</row>
    <row r="26" spans="1:18" ht="14.25" customHeight="1" x14ac:dyDescent="0.3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</row>
    <row r="27" spans="1:18" ht="14.25" customHeight="1" x14ac:dyDescent="0.3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</row>
    <row r="28" spans="1:18" ht="14.25" customHeight="1" x14ac:dyDescent="0.3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</row>
    <row r="29" spans="1:18" ht="14.25" customHeight="1" x14ac:dyDescent="0.3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</row>
    <row r="30" spans="1:18" ht="14.25" customHeight="1" x14ac:dyDescent="0.3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</row>
    <row r="31" spans="1:18" ht="14.25" customHeight="1" x14ac:dyDescent="0.3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</row>
    <row r="32" spans="1:18" ht="14.25" customHeight="1" x14ac:dyDescent="0.3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</row>
    <row r="33" spans="1:18" ht="14.25" customHeight="1" x14ac:dyDescent="0.3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</row>
    <row r="34" spans="1:18" ht="14.25" customHeight="1" x14ac:dyDescent="0.3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</row>
    <row r="35" spans="1:18" ht="14.25" customHeight="1" x14ac:dyDescent="0.3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</row>
    <row r="36" spans="1:18" ht="14.25" customHeight="1" x14ac:dyDescent="0.3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5"/>
      <c r="M36" s="68"/>
      <c r="N36" s="68"/>
      <c r="O36" s="3"/>
      <c r="P36" s="3"/>
      <c r="Q36" s="3"/>
      <c r="R36" s="3"/>
    </row>
    <row r="37" spans="1:18" ht="14.25" customHeight="1" x14ac:dyDescent="0.3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72"/>
      <c r="M37" s="73"/>
      <c r="N37" s="68"/>
      <c r="O37" s="3"/>
      <c r="P37" s="3"/>
      <c r="Q37" s="3"/>
      <c r="R37" s="3"/>
    </row>
    <row r="38" spans="1:18" ht="14.25" customHeight="1" x14ac:dyDescent="0.3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72"/>
      <c r="M38" s="75"/>
      <c r="N38" s="68"/>
      <c r="O38" s="3"/>
      <c r="P38" s="3"/>
      <c r="Q38" s="3"/>
      <c r="R38" s="3"/>
    </row>
    <row r="39" spans="1:18" ht="14.25" customHeight="1" x14ac:dyDescent="0.3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72"/>
      <c r="M39" s="73"/>
      <c r="N39" s="68"/>
      <c r="O39" s="3"/>
      <c r="P39" s="3"/>
      <c r="Q39" s="3"/>
      <c r="R39" s="3"/>
    </row>
    <row r="40" spans="1:18" ht="14.25" customHeight="1" x14ac:dyDescent="0.3">
      <c r="A40" s="3"/>
      <c r="B40" s="62" t="s">
        <v>155</v>
      </c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</row>
    <row r="41" spans="1:18" ht="14.25" customHeight="1" x14ac:dyDescent="0.35">
      <c r="A41" s="3"/>
      <c r="B41" s="45"/>
      <c r="C41" s="45"/>
      <c r="D41" s="45"/>
      <c r="E41" s="45"/>
      <c r="F41" s="45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79"/>
    </row>
    <row r="42" spans="1:18" ht="14.25" customHeight="1" x14ac:dyDescent="0.35">
      <c r="A42" s="3"/>
      <c r="B42" s="45" t="s">
        <v>90</v>
      </c>
      <c r="C42" s="46" t="s">
        <v>55</v>
      </c>
      <c r="E42" s="46" t="s">
        <v>56</v>
      </c>
      <c r="F42" s="45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</row>
    <row r="43" spans="1:18" ht="14.25" customHeight="1" x14ac:dyDescent="0.35">
      <c r="A43" s="3"/>
      <c r="B43" s="45">
        <v>2010</v>
      </c>
      <c r="C43" s="72">
        <v>0.4</v>
      </c>
      <c r="D43" s="83">
        <f>C43</f>
        <v>0.4</v>
      </c>
      <c r="E43" s="72">
        <v>0.09</v>
      </c>
      <c r="F43" s="219">
        <f>E43</f>
        <v>0.09</v>
      </c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</row>
    <row r="44" spans="1:18" ht="14.25" customHeight="1" x14ac:dyDescent="0.35">
      <c r="A44" s="3"/>
      <c r="B44" s="45">
        <v>2011</v>
      </c>
      <c r="C44" s="72">
        <v>0.3</v>
      </c>
      <c r="D44" s="83">
        <f t="shared" ref="D44:D48" si="0">C44</f>
        <v>0.3</v>
      </c>
      <c r="E44" s="72">
        <v>0.09</v>
      </c>
      <c r="F44" s="219">
        <f t="shared" ref="F44:F48" si="1">E44</f>
        <v>0.09</v>
      </c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</row>
    <row r="45" spans="1:18" ht="14.25" customHeight="1" x14ac:dyDescent="0.35">
      <c r="A45" s="3"/>
      <c r="B45" s="45">
        <v>2012</v>
      </c>
      <c r="C45" s="72">
        <v>0.28999999999999998</v>
      </c>
      <c r="D45" s="83">
        <f t="shared" si="0"/>
        <v>0.28999999999999998</v>
      </c>
      <c r="E45" s="72">
        <v>0.11</v>
      </c>
      <c r="F45" s="219">
        <f t="shared" si="1"/>
        <v>0.11</v>
      </c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</row>
    <row r="46" spans="1:18" ht="14.25" customHeight="1" x14ac:dyDescent="0.35">
      <c r="A46" s="3"/>
      <c r="B46" s="45">
        <v>2013</v>
      </c>
      <c r="C46" s="72">
        <v>0.3</v>
      </c>
      <c r="D46" s="83">
        <f t="shared" si="0"/>
        <v>0.3</v>
      </c>
      <c r="E46" s="72">
        <v>0.22</v>
      </c>
      <c r="F46" s="219">
        <f t="shared" si="1"/>
        <v>0.22</v>
      </c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</row>
    <row r="47" spans="1:18" ht="14.25" customHeight="1" x14ac:dyDescent="0.35">
      <c r="A47" s="3"/>
      <c r="B47" s="45">
        <v>2014</v>
      </c>
      <c r="C47" s="72">
        <v>0.28000000000000003</v>
      </c>
      <c r="D47" s="83">
        <f t="shared" si="0"/>
        <v>0.28000000000000003</v>
      </c>
      <c r="E47" s="72">
        <v>0.27</v>
      </c>
      <c r="F47" s="219">
        <f t="shared" si="1"/>
        <v>0.27</v>
      </c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</row>
    <row r="48" spans="1:18" ht="14.25" customHeight="1" x14ac:dyDescent="0.35">
      <c r="A48" s="3"/>
      <c r="B48" s="45">
        <v>2015</v>
      </c>
      <c r="C48" s="72">
        <v>0.24</v>
      </c>
      <c r="D48" s="83">
        <f t="shared" si="0"/>
        <v>0.24</v>
      </c>
      <c r="E48" s="72">
        <v>0.3</v>
      </c>
      <c r="F48" s="219">
        <f t="shared" si="1"/>
        <v>0.3</v>
      </c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</row>
    <row r="49" spans="1:18" ht="14.25" customHeight="1" x14ac:dyDescent="0.35">
      <c r="A49" s="3"/>
      <c r="B49" s="3"/>
      <c r="C49" s="3"/>
      <c r="D49" s="45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</row>
    <row r="50" spans="1:18" ht="14.25" customHeight="1" x14ac:dyDescent="0.3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</row>
    <row r="51" spans="1:18" ht="14.25" customHeight="1" x14ac:dyDescent="0.3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</row>
    <row r="52" spans="1:18" ht="14.25" customHeight="1" x14ac:dyDescent="0.3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</row>
    <row r="53" spans="1:18" ht="14.25" customHeight="1" x14ac:dyDescent="0.3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</row>
    <row r="54" spans="1:18" ht="14.25" customHeight="1" x14ac:dyDescent="0.3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</row>
    <row r="55" spans="1:18" ht="14.25" customHeight="1" x14ac:dyDescent="0.3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</row>
    <row r="56" spans="1:18" ht="14.25" customHeight="1" x14ac:dyDescent="0.3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18" ht="14.25" customHeight="1" x14ac:dyDescent="0.3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</row>
    <row r="58" spans="1:18" ht="14.25" customHeight="1" x14ac:dyDescent="0.3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</row>
    <row r="59" spans="1:18" ht="14.25" customHeight="1" x14ac:dyDescent="0.3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</row>
    <row r="60" spans="1:18" ht="14.25" customHeight="1" x14ac:dyDescent="0.3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8" ht="14.25" customHeight="1" x14ac:dyDescent="0.3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</row>
    <row r="62" spans="1:18" ht="14.25" customHeight="1" x14ac:dyDescent="0.3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</row>
    <row r="63" spans="1:18" ht="14.25" customHeight="1" x14ac:dyDescent="0.3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</row>
    <row r="64" spans="1:18" ht="14.25" customHeight="1" x14ac:dyDescent="0.3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</row>
    <row r="65" spans="1:18" ht="14.25" customHeight="1" x14ac:dyDescent="0.3">
      <c r="A65" s="3"/>
      <c r="B65" s="62" t="s">
        <v>156</v>
      </c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</row>
    <row r="66" spans="1:18" ht="14.25" customHeight="1" x14ac:dyDescent="0.35">
      <c r="A66" s="45"/>
      <c r="B66" s="45"/>
      <c r="C66" s="46"/>
      <c r="D66" s="46"/>
      <c r="E66" s="46"/>
      <c r="F66" s="46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</row>
    <row r="67" spans="1:18" ht="14.25" customHeight="1" x14ac:dyDescent="0.35">
      <c r="A67" s="45"/>
      <c r="B67" s="46" t="s">
        <v>55</v>
      </c>
      <c r="C67" s="45">
        <v>14</v>
      </c>
      <c r="D67" s="45">
        <v>60</v>
      </c>
      <c r="E67" s="45">
        <v>5</v>
      </c>
      <c r="F67" s="45">
        <v>55</v>
      </c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</row>
    <row r="68" spans="1:18" ht="14.25" customHeight="1" x14ac:dyDescent="0.35">
      <c r="A68" s="45"/>
      <c r="B68" s="46" t="s">
        <v>56</v>
      </c>
      <c r="C68" s="45">
        <v>30</v>
      </c>
      <c r="D68" s="45">
        <v>50</v>
      </c>
      <c r="E68" s="45">
        <v>25</v>
      </c>
      <c r="F68" s="45">
        <v>47</v>
      </c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</row>
    <row r="69" spans="1:18" ht="14.25" customHeight="1" x14ac:dyDescent="0.35">
      <c r="A69" s="45"/>
      <c r="B69" s="46" t="s">
        <v>57</v>
      </c>
      <c r="C69" s="45">
        <v>55</v>
      </c>
      <c r="D69" s="45">
        <v>60</v>
      </c>
      <c r="E69" s="45">
        <v>30</v>
      </c>
      <c r="F69" s="45">
        <v>50</v>
      </c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</row>
    <row r="70" spans="1:18" ht="14.25" customHeight="1" x14ac:dyDescent="0.35">
      <c r="A70" s="45"/>
      <c r="B70" s="46" t="s">
        <v>60</v>
      </c>
      <c r="C70" s="45">
        <v>36</v>
      </c>
      <c r="D70" s="45">
        <v>65</v>
      </c>
      <c r="E70" s="45">
        <v>30</v>
      </c>
      <c r="F70" s="45">
        <v>50</v>
      </c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</row>
    <row r="71" spans="1:18" ht="14.25" customHeight="1" x14ac:dyDescent="0.35">
      <c r="A71" s="45"/>
      <c r="B71" s="46" t="s">
        <v>61</v>
      </c>
      <c r="C71" s="45">
        <v>40</v>
      </c>
      <c r="D71" s="45">
        <v>50</v>
      </c>
      <c r="E71" s="45">
        <v>30</v>
      </c>
      <c r="F71" s="45">
        <v>45</v>
      </c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</row>
    <row r="72" spans="1:18" ht="14.25" customHeight="1" x14ac:dyDescent="0.35">
      <c r="A72" s="45"/>
      <c r="B72" s="45"/>
      <c r="C72" s="45"/>
      <c r="D72" s="45"/>
      <c r="E72" s="45"/>
      <c r="F72" s="45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</row>
    <row r="73" spans="1:18" ht="14.25" customHeight="1" x14ac:dyDescent="0.3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</row>
    <row r="74" spans="1:18" ht="14.25" customHeight="1" x14ac:dyDescent="0.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</row>
    <row r="75" spans="1:18" ht="14.25" customHeight="1" x14ac:dyDescent="0.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</row>
    <row r="76" spans="1:18" ht="14.25" customHeight="1" x14ac:dyDescent="0.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</row>
    <row r="77" spans="1:18" ht="14.25" customHeight="1" x14ac:dyDescent="0.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</row>
    <row r="78" spans="1:18" ht="14.25" customHeight="1" x14ac:dyDescent="0.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</row>
    <row r="79" spans="1:18" ht="14.25" customHeight="1" x14ac:dyDescent="0.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</row>
    <row r="80" spans="1:18" ht="14.25" customHeight="1" x14ac:dyDescent="0.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</row>
    <row r="81" spans="1:18" ht="14.25" customHeight="1" x14ac:dyDescent="0.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</row>
    <row r="82" spans="1:18" ht="14.25" customHeight="1" x14ac:dyDescent="0.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</row>
    <row r="83" spans="1:18" ht="14.25" customHeight="1" x14ac:dyDescent="0.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</row>
    <row r="84" spans="1:18" ht="14.25" customHeight="1" x14ac:dyDescent="0.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</row>
    <row r="85" spans="1:18" ht="14.25" customHeight="1" x14ac:dyDescent="0.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</row>
    <row r="86" spans="1:18" ht="14.25" customHeight="1" x14ac:dyDescent="0.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</row>
    <row r="87" spans="1:18" ht="14.25" customHeight="1" x14ac:dyDescent="0.35">
      <c r="B87" s="45"/>
      <c r="C87" s="45"/>
      <c r="D87" s="45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</row>
    <row r="88" spans="1:18" ht="14.25" customHeight="1" x14ac:dyDescent="0.35">
      <c r="A88" s="80"/>
      <c r="B88" s="81"/>
      <c r="C88" s="45"/>
      <c r="D88" s="45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</row>
    <row r="89" spans="1:18" ht="14.25" customHeight="1" x14ac:dyDescent="0.35">
      <c r="A89" s="45"/>
      <c r="B89" s="62" t="s">
        <v>157</v>
      </c>
      <c r="C89" s="45"/>
      <c r="D89" s="45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</row>
    <row r="90" spans="1:18" ht="14.25" customHeight="1" x14ac:dyDescent="0.35">
      <c r="A90" s="45"/>
      <c r="B90" s="82" t="s">
        <v>90</v>
      </c>
      <c r="C90" s="45"/>
      <c r="D90" s="45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</row>
    <row r="91" spans="1:18" ht="14.25" customHeight="1" x14ac:dyDescent="0.35">
      <c r="A91" s="45"/>
      <c r="B91" s="46" t="s">
        <v>55</v>
      </c>
      <c r="C91" s="83">
        <v>0.33</v>
      </c>
      <c r="D91" s="229">
        <f>C91</f>
        <v>0.33</v>
      </c>
      <c r="E91" s="84">
        <v>0.33</v>
      </c>
      <c r="F91" s="85">
        <v>0</v>
      </c>
      <c r="G91" s="230">
        <f>F91</f>
        <v>0</v>
      </c>
      <c r="H91" s="86">
        <v>0</v>
      </c>
      <c r="I91" s="3"/>
      <c r="J91" s="3"/>
      <c r="K91" s="3"/>
      <c r="L91" s="3"/>
      <c r="M91" s="3"/>
      <c r="N91" s="3"/>
      <c r="O91" s="3"/>
      <c r="P91" s="3"/>
      <c r="Q91" s="3"/>
      <c r="R91" s="3"/>
    </row>
    <row r="92" spans="1:18" ht="14.25" customHeight="1" x14ac:dyDescent="0.35">
      <c r="A92" s="45"/>
      <c r="B92" s="46" t="s">
        <v>56</v>
      </c>
      <c r="C92" s="83">
        <v>0.39</v>
      </c>
      <c r="D92" s="229">
        <f t="shared" ref="D92:D96" si="2">C92</f>
        <v>0.39</v>
      </c>
      <c r="E92" s="84">
        <v>0.39</v>
      </c>
      <c r="F92" s="85">
        <v>-0.13</v>
      </c>
      <c r="G92" s="230">
        <f t="shared" ref="G92:G96" si="3">F92</f>
        <v>-0.13</v>
      </c>
      <c r="H92" s="86">
        <v>-0.13</v>
      </c>
      <c r="I92" s="3"/>
      <c r="J92" s="3"/>
      <c r="K92" s="3"/>
      <c r="L92" s="3"/>
      <c r="M92" s="3"/>
      <c r="N92" s="3"/>
      <c r="O92" s="3"/>
      <c r="P92" s="3"/>
      <c r="Q92" s="3"/>
      <c r="R92" s="3"/>
    </row>
    <row r="93" spans="1:18" ht="14.25" customHeight="1" x14ac:dyDescent="0.35">
      <c r="A93" s="45"/>
      <c r="B93" s="46" t="s">
        <v>57</v>
      </c>
      <c r="C93" s="83">
        <v>0.66</v>
      </c>
      <c r="D93" s="229">
        <f t="shared" si="2"/>
        <v>0.66</v>
      </c>
      <c r="E93" s="84">
        <v>0.72</v>
      </c>
      <c r="F93" s="85">
        <v>-0.41</v>
      </c>
      <c r="G93" s="230">
        <f t="shared" si="3"/>
        <v>-0.41</v>
      </c>
      <c r="H93" s="87">
        <v>-0.67</v>
      </c>
      <c r="I93" s="3"/>
      <c r="J93" s="3"/>
      <c r="K93" s="3"/>
      <c r="L93" s="3"/>
      <c r="M93" s="3"/>
      <c r="N93" s="3"/>
      <c r="O93" s="3"/>
      <c r="P93" s="3"/>
      <c r="Q93" s="3"/>
      <c r="R93" s="3"/>
    </row>
    <row r="94" spans="1:18" ht="14.25" customHeight="1" x14ac:dyDescent="0.35">
      <c r="A94" s="45"/>
      <c r="B94" s="46" t="s">
        <v>60</v>
      </c>
      <c r="C94" s="83">
        <v>0.67</v>
      </c>
      <c r="D94" s="229">
        <f t="shared" si="2"/>
        <v>0.67</v>
      </c>
      <c r="E94" s="84">
        <v>0.92</v>
      </c>
      <c r="F94" s="85">
        <v>-0.48</v>
      </c>
      <c r="G94" s="230">
        <f t="shared" si="3"/>
        <v>-0.48</v>
      </c>
      <c r="H94" s="87">
        <v>-0.81</v>
      </c>
      <c r="I94" s="3"/>
      <c r="J94" s="3"/>
      <c r="K94" s="3"/>
      <c r="L94" s="3"/>
      <c r="M94" s="3"/>
      <c r="N94" s="3"/>
      <c r="O94" s="3"/>
      <c r="P94" s="3"/>
      <c r="Q94" s="3"/>
      <c r="R94" s="3"/>
    </row>
    <row r="95" spans="1:18" ht="14.25" customHeight="1" x14ac:dyDescent="0.35">
      <c r="A95" s="45"/>
      <c r="B95" s="46" t="s">
        <v>61</v>
      </c>
      <c r="C95" s="83">
        <v>0.68</v>
      </c>
      <c r="D95" s="229">
        <f t="shared" si="2"/>
        <v>0.68</v>
      </c>
      <c r="E95" s="84">
        <v>0.96</v>
      </c>
      <c r="F95" s="85">
        <v>-0.54</v>
      </c>
      <c r="G95" s="230">
        <f t="shared" si="3"/>
        <v>-0.54</v>
      </c>
      <c r="H95" s="87">
        <v>-0.84</v>
      </c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18" ht="14.25" customHeight="1" x14ac:dyDescent="0.35">
      <c r="A96" s="45"/>
      <c r="B96" s="46" t="s">
        <v>64</v>
      </c>
      <c r="C96" s="83">
        <v>0.7</v>
      </c>
      <c r="D96" s="229">
        <f t="shared" si="2"/>
        <v>0.7</v>
      </c>
      <c r="E96" s="84"/>
      <c r="F96" s="85">
        <v>-0.68</v>
      </c>
      <c r="G96" s="230">
        <f t="shared" si="3"/>
        <v>-0.68</v>
      </c>
      <c r="H96" s="87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ht="14.25" customHeight="1" x14ac:dyDescent="0.3">
      <c r="A97" s="3"/>
      <c r="B97" s="88" t="s">
        <v>158</v>
      </c>
      <c r="C97" s="55"/>
      <c r="D97" s="55"/>
      <c r="E97" s="55"/>
      <c r="F97" s="55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ht="14.25" customHeight="1" x14ac:dyDescent="0.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</row>
    <row r="99" spans="1:18" ht="14.25" customHeight="1" x14ac:dyDescent="0.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</row>
    <row r="100" spans="1:18" ht="14.25" customHeight="1" x14ac:dyDescent="0.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</row>
    <row r="101" spans="1:18" ht="14.25" customHeight="1" x14ac:dyDescent="0.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ht="14.25" customHeight="1" x14ac:dyDescent="0.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  <row r="103" spans="1:18" ht="14.25" customHeight="1" x14ac:dyDescent="0.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</row>
    <row r="104" spans="1:18" ht="14.25" customHeight="1" x14ac:dyDescent="0.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</row>
    <row r="105" spans="1:18" ht="14.25" customHeight="1" x14ac:dyDescent="0.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</row>
    <row r="106" spans="1:18" ht="14.25" customHeight="1" x14ac:dyDescent="0.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</row>
    <row r="107" spans="1:18" ht="14.25" customHeight="1" x14ac:dyDescent="0.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</row>
    <row r="108" spans="1:18" ht="14.25" customHeight="1" x14ac:dyDescent="0.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</row>
    <row r="109" spans="1:18" ht="14.25" customHeight="1" x14ac:dyDescent="0.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</row>
    <row r="110" spans="1:18" ht="14.25" customHeight="1" x14ac:dyDescent="0.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</row>
    <row r="111" spans="1:18" ht="14.25" customHeight="1" x14ac:dyDescent="0.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</row>
    <row r="112" spans="1:18" ht="14.25" customHeight="1" x14ac:dyDescent="0.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</row>
    <row r="113" spans="1:18" ht="14.25" customHeight="1" x14ac:dyDescent="0.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</row>
    <row r="114" spans="1:18" ht="14.25" customHeight="1" x14ac:dyDescent="0.35">
      <c r="A114" s="62"/>
      <c r="B114" s="62" t="s">
        <v>159</v>
      </c>
      <c r="C114" s="45"/>
      <c r="D114" s="45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</row>
    <row r="115" spans="1:18" ht="14.25" customHeight="1" x14ac:dyDescent="0.35">
      <c r="A115" s="63"/>
      <c r="B115" s="81"/>
      <c r="C115" s="45"/>
      <c r="D115" s="45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</row>
    <row r="116" spans="1:18" ht="14.25" customHeight="1" x14ac:dyDescent="0.35">
      <c r="C116" s="45" t="s">
        <v>191</v>
      </c>
      <c r="D116" s="226" t="s">
        <v>193</v>
      </c>
      <c r="E116" s="45" t="s">
        <v>192</v>
      </c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</row>
    <row r="117" spans="1:18" ht="14.25" customHeight="1" x14ac:dyDescent="0.35">
      <c r="A117" s="45"/>
      <c r="B117" s="46" t="s">
        <v>55</v>
      </c>
      <c r="C117" s="89">
        <v>1.0980000000000001</v>
      </c>
      <c r="D117" s="227">
        <f>C117</f>
        <v>1.0980000000000001</v>
      </c>
      <c r="E117" s="77">
        <v>5.4</v>
      </c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</row>
    <row r="118" spans="1:18" ht="14.25" customHeight="1" x14ac:dyDescent="0.35">
      <c r="A118" s="45"/>
      <c r="B118" s="90"/>
      <c r="C118" s="91">
        <v>1.4224999999999999</v>
      </c>
      <c r="D118" s="228">
        <f t="shared" ref="D118:D127" si="4">C118</f>
        <v>1.4224999999999999</v>
      </c>
      <c r="E118" s="90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</row>
    <row r="119" spans="1:18" ht="14.25" customHeight="1" x14ac:dyDescent="0.35">
      <c r="A119" s="45"/>
      <c r="B119" s="46" t="s">
        <v>56</v>
      </c>
      <c r="C119" s="92">
        <v>1.7469999999999999</v>
      </c>
      <c r="D119" s="227">
        <f t="shared" si="4"/>
        <v>1.7469999999999999</v>
      </c>
      <c r="E119" s="78">
        <v>5.3</v>
      </c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</row>
    <row r="120" spans="1:18" ht="14.25" customHeight="1" x14ac:dyDescent="0.35">
      <c r="A120" s="45"/>
      <c r="B120" s="90"/>
      <c r="C120" s="91">
        <v>2.1992599999999998</v>
      </c>
      <c r="D120" s="228">
        <f t="shared" si="4"/>
        <v>2.1992599999999998</v>
      </c>
      <c r="E120" s="90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</row>
    <row r="121" spans="1:18" ht="14.25" customHeight="1" x14ac:dyDescent="0.35">
      <c r="A121" s="45"/>
      <c r="B121" s="46" t="s">
        <v>57</v>
      </c>
      <c r="C121" s="92">
        <v>2.6515200000000001</v>
      </c>
      <c r="D121" s="227">
        <f t="shared" si="4"/>
        <v>2.6515200000000001</v>
      </c>
      <c r="E121" s="78">
        <v>6.5</v>
      </c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</row>
    <row r="122" spans="1:18" ht="14.25" customHeight="1" x14ac:dyDescent="0.35">
      <c r="A122" s="45"/>
      <c r="B122" s="90"/>
      <c r="C122" s="91">
        <v>3.6836099999999998</v>
      </c>
      <c r="D122" s="228">
        <f t="shared" si="4"/>
        <v>3.6836099999999998</v>
      </c>
      <c r="E122" s="90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</row>
    <row r="123" spans="1:18" ht="14.25" customHeight="1" x14ac:dyDescent="0.35">
      <c r="A123" s="45"/>
      <c r="B123" s="46" t="s">
        <v>60</v>
      </c>
      <c r="C123" s="92">
        <v>4.7157</v>
      </c>
      <c r="D123" s="227">
        <f t="shared" si="4"/>
        <v>4.7157</v>
      </c>
      <c r="E123" s="78">
        <v>8.6</v>
      </c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</row>
    <row r="124" spans="1:18" ht="14.25" customHeight="1" x14ac:dyDescent="0.35">
      <c r="A124" s="45"/>
      <c r="B124" s="90"/>
      <c r="C124" s="91">
        <v>5.0716800000000006</v>
      </c>
      <c r="D124" s="228">
        <f t="shared" si="4"/>
        <v>5.0716800000000006</v>
      </c>
      <c r="E124" s="90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</row>
    <row r="125" spans="1:18" ht="14.25" customHeight="1" x14ac:dyDescent="0.35">
      <c r="A125" s="45"/>
      <c r="B125" s="46" t="s">
        <v>61</v>
      </c>
      <c r="C125" s="92">
        <v>5.4276600000000004</v>
      </c>
      <c r="D125" s="227">
        <f t="shared" si="4"/>
        <v>5.4276600000000004</v>
      </c>
      <c r="E125" s="78">
        <v>8.3000000000000007</v>
      </c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</row>
    <row r="126" spans="1:18" ht="14.25" customHeight="1" x14ac:dyDescent="0.35">
      <c r="A126" s="45"/>
      <c r="B126" s="90"/>
      <c r="C126" s="91">
        <v>5.5638300000000003</v>
      </c>
      <c r="D126" s="228">
        <f t="shared" si="4"/>
        <v>5.5638300000000003</v>
      </c>
      <c r="E126" s="90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</row>
    <row r="127" spans="1:18" ht="14.25" customHeight="1" x14ac:dyDescent="0.35">
      <c r="A127" s="45"/>
      <c r="B127" s="46" t="s">
        <v>64</v>
      </c>
      <c r="C127" s="92">
        <v>5.7</v>
      </c>
      <c r="D127" s="227">
        <f t="shared" si="4"/>
        <v>5.7</v>
      </c>
      <c r="E127" s="78">
        <v>8.5</v>
      </c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</row>
    <row r="128" spans="1:18" ht="14.25" customHeight="1" x14ac:dyDescent="0.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</row>
    <row r="129" spans="1:18" ht="14.25" customHeight="1" x14ac:dyDescent="0.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</row>
    <row r="130" spans="1:18" ht="14.25" customHeight="1" x14ac:dyDescent="0.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</row>
    <row r="131" spans="1:18" ht="14.25" customHeight="1" x14ac:dyDescent="0.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</row>
    <row r="132" spans="1:18" ht="14.25" customHeight="1" x14ac:dyDescent="0.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</row>
    <row r="133" spans="1:18" ht="14.25" customHeight="1" x14ac:dyDescent="0.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</row>
    <row r="134" spans="1:18" ht="14.25" customHeight="1" x14ac:dyDescent="0.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</row>
    <row r="135" spans="1:18" ht="14.25" customHeight="1" x14ac:dyDescent="0.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</row>
    <row r="136" spans="1:18" ht="14.25" customHeight="1" x14ac:dyDescent="0.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</row>
    <row r="137" spans="1:18" ht="14.25" customHeight="1" x14ac:dyDescent="0.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</row>
    <row r="138" spans="1:18" ht="14.25" customHeight="1" x14ac:dyDescent="0.3">
      <c r="A138" s="3"/>
      <c r="B138" s="62" t="s">
        <v>189</v>
      </c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</row>
    <row r="139" spans="1:18" ht="14.25" customHeight="1" x14ac:dyDescent="0.3">
      <c r="A139" s="3"/>
      <c r="B139" s="100" t="s">
        <v>160</v>
      </c>
      <c r="C139" s="22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</row>
    <row r="140" spans="1:18" ht="14.25" customHeight="1" x14ac:dyDescent="0.3">
      <c r="A140" s="3"/>
      <c r="B140" s="61">
        <v>43586</v>
      </c>
      <c r="C140" s="224">
        <v>0.1358</v>
      </c>
      <c r="D140" s="225">
        <f t="shared" ref="D140:D155" si="5">C140</f>
        <v>0.1358</v>
      </c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</row>
    <row r="141" spans="1:18" ht="14.25" customHeight="1" x14ac:dyDescent="0.3">
      <c r="A141" s="3"/>
      <c r="B141" s="61">
        <v>43709</v>
      </c>
      <c r="C141" s="224">
        <v>0.13489999999999999</v>
      </c>
      <c r="D141" s="225">
        <f t="shared" si="5"/>
        <v>0.13489999999999999</v>
      </c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</row>
    <row r="142" spans="1:18" ht="14.25" customHeight="1" x14ac:dyDescent="0.3">
      <c r="A142" s="3"/>
      <c r="B142" s="61">
        <v>43831</v>
      </c>
      <c r="C142" s="224">
        <v>0.13370000000000001</v>
      </c>
      <c r="D142" s="225">
        <f t="shared" si="5"/>
        <v>0.13370000000000001</v>
      </c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</row>
    <row r="143" spans="1:18" ht="14.25" customHeight="1" x14ac:dyDescent="0.3">
      <c r="A143" s="3"/>
      <c r="B143" s="61">
        <v>43952</v>
      </c>
      <c r="C143" s="224">
        <v>0.13389999999999999</v>
      </c>
      <c r="D143" s="225">
        <f t="shared" si="5"/>
        <v>0.13389999999999999</v>
      </c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</row>
    <row r="144" spans="1:18" ht="14.25" customHeight="1" x14ac:dyDescent="0.3">
      <c r="A144" s="3"/>
      <c r="B144" s="61">
        <v>44075</v>
      </c>
      <c r="C144" s="224">
        <v>0.1333</v>
      </c>
      <c r="D144" s="225">
        <f t="shared" si="5"/>
        <v>0.1333</v>
      </c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</row>
    <row r="145" spans="1:18" ht="14.25" customHeight="1" x14ac:dyDescent="0.3">
      <c r="A145" s="3"/>
      <c r="B145" s="61">
        <v>44197</v>
      </c>
      <c r="C145" s="224">
        <v>0.13239999999999999</v>
      </c>
      <c r="D145" s="225">
        <f t="shared" si="5"/>
        <v>0.13239999999999999</v>
      </c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</row>
    <row r="146" spans="1:18" ht="14.25" customHeight="1" x14ac:dyDescent="0.3">
      <c r="A146" s="3"/>
      <c r="B146" s="61">
        <v>44317</v>
      </c>
      <c r="C146" s="224">
        <v>0.13159999999999999</v>
      </c>
      <c r="D146" s="225">
        <f t="shared" si="5"/>
        <v>0.13159999999999999</v>
      </c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</row>
    <row r="147" spans="1:18" ht="14.25" customHeight="1" x14ac:dyDescent="0.3">
      <c r="A147" s="3"/>
      <c r="B147" s="61">
        <v>44440</v>
      </c>
      <c r="C147" s="224">
        <v>0.13139999999999999</v>
      </c>
      <c r="D147" s="225">
        <f t="shared" si="5"/>
        <v>0.13139999999999999</v>
      </c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</row>
    <row r="148" spans="1:18" ht="14.25" customHeight="1" x14ac:dyDescent="0.3">
      <c r="A148" s="3"/>
      <c r="B148" s="61">
        <v>44562</v>
      </c>
      <c r="C148" s="224">
        <v>0.13339999999999999</v>
      </c>
      <c r="D148" s="225">
        <f t="shared" si="5"/>
        <v>0.13339999999999999</v>
      </c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</row>
    <row r="149" spans="1:18" ht="14.25" customHeight="1" x14ac:dyDescent="0.3">
      <c r="A149" s="3"/>
      <c r="B149" s="61">
        <v>44682</v>
      </c>
      <c r="C149" s="224">
        <v>0.13350000000000001</v>
      </c>
      <c r="D149" s="225">
        <f t="shared" si="5"/>
        <v>0.13350000000000001</v>
      </c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</row>
    <row r="150" spans="1:18" ht="14.25" customHeight="1" x14ac:dyDescent="0.3">
      <c r="A150" s="3"/>
      <c r="B150" s="61">
        <v>44805</v>
      </c>
      <c r="C150" s="224">
        <v>0.13339999999999999</v>
      </c>
      <c r="D150" s="225">
        <f t="shared" si="5"/>
        <v>0.13339999999999999</v>
      </c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</row>
    <row r="151" spans="1:18" ht="14.25" customHeight="1" x14ac:dyDescent="0.3">
      <c r="A151" s="3"/>
      <c r="B151" s="61">
        <v>44927</v>
      </c>
      <c r="C151" s="224">
        <v>0.13389999999999999</v>
      </c>
      <c r="D151" s="225">
        <f t="shared" si="5"/>
        <v>0.13389999999999999</v>
      </c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</row>
    <row r="152" spans="1:18" ht="14.25" customHeight="1" x14ac:dyDescent="0.3">
      <c r="A152" s="3"/>
      <c r="B152" s="61">
        <v>45047</v>
      </c>
      <c r="C152" s="224">
        <v>0.13450000000000001</v>
      </c>
      <c r="D152" s="225">
        <f t="shared" si="5"/>
        <v>0.13450000000000001</v>
      </c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</row>
    <row r="153" spans="1:18" ht="14.25" customHeight="1" x14ac:dyDescent="0.3">
      <c r="A153" s="3"/>
      <c r="B153" s="61">
        <v>45170</v>
      </c>
      <c r="C153" s="224">
        <v>0.13819999999999999</v>
      </c>
      <c r="D153" s="225">
        <f t="shared" si="5"/>
        <v>0.13819999999999999</v>
      </c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</row>
    <row r="154" spans="1:18" ht="14.25" customHeight="1" x14ac:dyDescent="0.3">
      <c r="A154" s="3"/>
      <c r="B154" s="61">
        <v>45292</v>
      </c>
      <c r="C154" s="224">
        <v>0.13719999999999999</v>
      </c>
      <c r="D154" s="225">
        <f t="shared" si="5"/>
        <v>0.13719999999999999</v>
      </c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</row>
    <row r="155" spans="1:18" ht="14.25" customHeight="1" x14ac:dyDescent="0.3">
      <c r="A155" s="3"/>
      <c r="B155" s="61">
        <v>45413</v>
      </c>
      <c r="C155" s="224">
        <v>0.13789999999999999</v>
      </c>
      <c r="D155" s="225">
        <f t="shared" si="5"/>
        <v>0.13789999999999999</v>
      </c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</row>
    <row r="156" spans="1:18" ht="14.25" customHeight="1" x14ac:dyDescent="0.3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</row>
    <row r="157" spans="1:18" ht="14.25" customHeight="1" x14ac:dyDescent="0.3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</row>
    <row r="158" spans="1:18" ht="14.25" customHeight="1" x14ac:dyDescent="0.3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</row>
    <row r="159" spans="1:18" ht="14.25" customHeight="1" x14ac:dyDescent="0.3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</row>
    <row r="160" spans="1:18" ht="14.25" customHeight="1" x14ac:dyDescent="0.3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</row>
    <row r="161" spans="1:18" ht="14.25" customHeight="1" x14ac:dyDescent="0.3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</row>
    <row r="162" spans="1:18" ht="14.25" customHeight="1" x14ac:dyDescent="0.3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</row>
    <row r="163" spans="1:18" ht="14.25" customHeight="1" x14ac:dyDescent="0.3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</row>
    <row r="164" spans="1:18" ht="14.25" customHeight="1" x14ac:dyDescent="0.3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</row>
    <row r="165" spans="1:18" ht="14.25" customHeight="1" x14ac:dyDescent="0.3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</row>
    <row r="166" spans="1:18" ht="14.25" customHeight="1" x14ac:dyDescent="0.3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</row>
    <row r="167" spans="1:18" ht="14.25" customHeight="1" x14ac:dyDescent="0.3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</row>
    <row r="168" spans="1:18" ht="14.25" customHeight="1" x14ac:dyDescent="0.3">
      <c r="A168" s="3"/>
      <c r="B168" s="62" t="s">
        <v>161</v>
      </c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</row>
    <row r="169" spans="1:18" ht="14.25" customHeight="1" x14ac:dyDescent="0.35">
      <c r="A169" s="3" t="s">
        <v>186</v>
      </c>
      <c r="B169" s="93" t="s">
        <v>187</v>
      </c>
      <c r="C169" s="93" t="s">
        <v>190</v>
      </c>
      <c r="D169" s="94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</row>
    <row r="170" spans="1:18" ht="14.25" customHeight="1" x14ac:dyDescent="0.35">
      <c r="A170" s="3"/>
      <c r="B170" s="95">
        <v>0.6</v>
      </c>
      <c r="C170" s="95">
        <v>0.14299999999999999</v>
      </c>
      <c r="D170" s="46" t="s">
        <v>55</v>
      </c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</row>
    <row r="171" spans="1:18" ht="14.25" customHeight="1" x14ac:dyDescent="0.35">
      <c r="A171" s="3"/>
      <c r="B171" s="95">
        <v>0.63</v>
      </c>
      <c r="C171" s="95">
        <v>0.13800000000000001</v>
      </c>
      <c r="D171" s="46" t="s">
        <v>56</v>
      </c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</row>
    <row r="172" spans="1:18" ht="14.25" customHeight="1" x14ac:dyDescent="0.35">
      <c r="A172" s="3"/>
      <c r="B172" s="95">
        <v>0.57999999999999996</v>
      </c>
      <c r="C172" s="95">
        <v>9.9000000000000005E-2</v>
      </c>
      <c r="D172" s="46" t="s">
        <v>57</v>
      </c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</row>
    <row r="173" spans="1:18" ht="14.25" customHeight="1" x14ac:dyDescent="0.35">
      <c r="A173" s="3"/>
      <c r="B173" s="95">
        <v>0.66</v>
      </c>
      <c r="C173" s="95">
        <v>8.4000000000000005E-2</v>
      </c>
      <c r="D173" s="46" t="s">
        <v>60</v>
      </c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</row>
    <row r="174" spans="1:18" ht="14.25" customHeight="1" x14ac:dyDescent="0.35">
      <c r="A174" s="3"/>
      <c r="B174" s="95">
        <v>0.35</v>
      </c>
      <c r="C174" s="95">
        <v>2.5999999999999999E-2</v>
      </c>
      <c r="D174" s="46" t="s">
        <v>61</v>
      </c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</row>
    <row r="175" spans="1:18" ht="14.25" customHeight="1" x14ac:dyDescent="0.35">
      <c r="A175" s="3"/>
      <c r="B175" s="95">
        <v>0.31</v>
      </c>
      <c r="C175" s="95">
        <v>7.5999999999999998E-2</v>
      </c>
      <c r="D175" s="46" t="s">
        <v>64</v>
      </c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</row>
    <row r="176" spans="1:18" ht="14.25" customHeight="1" x14ac:dyDescent="0.35">
      <c r="A176" s="3"/>
      <c r="B176" s="95">
        <v>0.72</v>
      </c>
      <c r="C176" s="95">
        <v>8.6999999999999994E-2</v>
      </c>
      <c r="D176" s="46" t="s">
        <v>65</v>
      </c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</row>
    <row r="177" spans="1:18" ht="14.25" customHeight="1" x14ac:dyDescent="0.35">
      <c r="A177" s="3"/>
      <c r="B177" s="95">
        <v>1.04</v>
      </c>
      <c r="C177" s="95">
        <v>0.17</v>
      </c>
      <c r="D177" s="46" t="s">
        <v>66</v>
      </c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</row>
    <row r="178" spans="1:18" ht="14.25" customHeight="1" x14ac:dyDescent="0.35">
      <c r="A178" s="3"/>
      <c r="B178" s="95">
        <v>0.33</v>
      </c>
      <c r="C178" s="95">
        <v>-0.02</v>
      </c>
      <c r="D178" s="46" t="s">
        <v>69</v>
      </c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</row>
    <row r="179" spans="1:18" ht="14.25" customHeight="1" x14ac:dyDescent="0.35">
      <c r="A179" s="3"/>
      <c r="B179" s="95">
        <v>0.32</v>
      </c>
      <c r="C179" s="95">
        <v>0.08</v>
      </c>
      <c r="D179" s="46" t="s">
        <v>70</v>
      </c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</row>
    <row r="180" spans="1:18" ht="14.25" customHeight="1" x14ac:dyDescent="0.35">
      <c r="A180" s="3"/>
      <c r="B180" s="95">
        <v>0.34</v>
      </c>
      <c r="C180" s="95">
        <v>5.8000000000000003E-2</v>
      </c>
      <c r="D180" s="46" t="s">
        <v>71</v>
      </c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</row>
    <row r="181" spans="1:18" ht="14.25" customHeight="1" x14ac:dyDescent="0.35">
      <c r="A181" s="3"/>
      <c r="B181" s="95">
        <v>0.88</v>
      </c>
      <c r="C181" s="95">
        <v>0.10100000000000001</v>
      </c>
      <c r="D181" s="46" t="s">
        <v>72</v>
      </c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</row>
    <row r="182" spans="1:18" ht="14.25" customHeight="1" x14ac:dyDescent="0.35">
      <c r="A182" s="3"/>
      <c r="B182" s="95">
        <v>0.81</v>
      </c>
      <c r="C182" s="95">
        <v>0.11899999999999999</v>
      </c>
      <c r="D182" s="46" t="s">
        <v>73</v>
      </c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</row>
    <row r="183" spans="1:18" ht="14.25" customHeight="1" x14ac:dyDescent="0.35">
      <c r="A183" s="3"/>
      <c r="B183" s="95">
        <v>0.51</v>
      </c>
      <c r="C183" s="95">
        <v>0.107</v>
      </c>
      <c r="D183" s="46" t="s">
        <v>74</v>
      </c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</row>
    <row r="184" spans="1:18" ht="14.25" customHeight="1" x14ac:dyDescent="0.35">
      <c r="A184" s="3"/>
      <c r="B184" s="95">
        <v>0.67</v>
      </c>
      <c r="C184" s="95">
        <v>0.13</v>
      </c>
      <c r="D184" s="46" t="s">
        <v>111</v>
      </c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</row>
    <row r="185" spans="1:18" ht="14.25" customHeight="1" x14ac:dyDescent="0.35">
      <c r="A185" s="3"/>
      <c r="B185" s="95">
        <v>0.57999999999999996</v>
      </c>
      <c r="C185" s="95">
        <v>0.09</v>
      </c>
      <c r="D185" s="46" t="s">
        <v>162</v>
      </c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</row>
    <row r="186" spans="1:18" ht="14.25" customHeight="1" x14ac:dyDescent="0.3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</row>
    <row r="187" spans="1:18" ht="14.25" customHeight="1" x14ac:dyDescent="0.3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</row>
    <row r="188" spans="1:18" ht="14.25" customHeight="1" x14ac:dyDescent="0.3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</row>
    <row r="189" spans="1:18" ht="14.25" customHeight="1" x14ac:dyDescent="0.3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</row>
    <row r="190" spans="1:18" ht="14.25" customHeight="1" x14ac:dyDescent="0.3">
      <c r="A190" s="3"/>
      <c r="B190" s="3"/>
      <c r="C190" s="3"/>
      <c r="D190" s="3"/>
      <c r="E190" s="3"/>
      <c r="F190" s="62" t="s">
        <v>163</v>
      </c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</row>
    <row r="191" spans="1:18" ht="14.25" customHeight="1" x14ac:dyDescent="0.3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</row>
    <row r="192" spans="1:18" ht="14.25" customHeight="1" x14ac:dyDescent="0.3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</row>
    <row r="193" spans="1:18" ht="14.25" customHeight="1" x14ac:dyDescent="0.3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</row>
    <row r="194" spans="1:18" ht="14.25" customHeight="1" x14ac:dyDescent="0.3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</row>
    <row r="195" spans="1:18" ht="14.25" customHeight="1" x14ac:dyDescent="0.3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</row>
    <row r="196" spans="1:18" ht="14.25" customHeight="1" x14ac:dyDescent="0.3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</row>
    <row r="197" spans="1:18" ht="14.25" customHeight="1" x14ac:dyDescent="0.3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</row>
    <row r="198" spans="1:18" ht="14.25" customHeight="1" x14ac:dyDescent="0.3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</row>
    <row r="199" spans="1:18" ht="14.25" customHeight="1" x14ac:dyDescent="0.3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 t="s">
        <v>194</v>
      </c>
      <c r="R199" s="3"/>
    </row>
    <row r="200" spans="1:18" ht="14.25" customHeight="1" x14ac:dyDescent="0.3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</row>
    <row r="201" spans="1:18" ht="14.25" customHeight="1" x14ac:dyDescent="0.3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</row>
    <row r="202" spans="1:18" ht="14.25" customHeight="1" x14ac:dyDescent="0.3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</row>
    <row r="203" spans="1:18" ht="14.25" customHeight="1" x14ac:dyDescent="0.3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</row>
    <row r="204" spans="1:18" ht="14.25" customHeight="1" x14ac:dyDescent="0.3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</row>
    <row r="205" spans="1:18" ht="14.25" customHeight="1" x14ac:dyDescent="0.3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</row>
    <row r="206" spans="1:18" ht="14.25" customHeight="1" x14ac:dyDescent="0.3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</row>
    <row r="207" spans="1:18" ht="14.25" customHeight="1" x14ac:dyDescent="0.3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</row>
    <row r="208" spans="1:18" ht="14.25" customHeight="1" x14ac:dyDescent="0.3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</row>
    <row r="209" spans="1:18" ht="14.25" customHeight="1" x14ac:dyDescent="0.3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</row>
    <row r="210" spans="1:18" ht="14.25" customHeight="1" x14ac:dyDescent="0.3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</row>
    <row r="211" spans="1:18" ht="14.25" customHeight="1" x14ac:dyDescent="0.3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</row>
    <row r="212" spans="1:18" ht="14.25" customHeight="1" x14ac:dyDescent="0.3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</row>
    <row r="213" spans="1:18" ht="14.25" customHeight="1" x14ac:dyDescent="0.3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</row>
    <row r="214" spans="1:18" ht="14.25" customHeight="1" x14ac:dyDescent="0.3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</row>
    <row r="219" spans="1:18" ht="15.75" customHeight="1" x14ac:dyDescent="0.3">
      <c r="C219" s="62" t="s">
        <v>188</v>
      </c>
    </row>
    <row r="220" spans="1:18" ht="15.75" customHeight="1" x14ac:dyDescent="0.3">
      <c r="C220" s="222" t="s">
        <v>187</v>
      </c>
      <c r="D220" s="222" t="s">
        <v>187</v>
      </c>
    </row>
    <row r="221" spans="1:18" ht="15.75" customHeight="1" x14ac:dyDescent="0.3">
      <c r="B221" s="220">
        <v>2024</v>
      </c>
      <c r="C221" s="221">
        <v>-1.4079121975396625E-2</v>
      </c>
      <c r="D221" s="221">
        <v>-9.2522884449430798E-2</v>
      </c>
    </row>
    <row r="222" spans="1:18" ht="15.75" customHeight="1" x14ac:dyDescent="0.3">
      <c r="B222" s="220">
        <v>2025</v>
      </c>
      <c r="C222" s="221">
        <v>-6.2935843753564313E-2</v>
      </c>
      <c r="D222" s="221">
        <v>-0.32776439748940511</v>
      </c>
    </row>
    <row r="223" spans="1:18" ht="15.75" customHeight="1" x14ac:dyDescent="0.3">
      <c r="B223" s="220">
        <v>2026</v>
      </c>
      <c r="C223">
        <v>0.32</v>
      </c>
      <c r="D223">
        <v>0.06</v>
      </c>
    </row>
  </sheetData>
  <pageMargins left="0.7" right="0.7" top="0.75" bottom="0.75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Uso plantilla</vt:lpstr>
      <vt:lpstr>Tablas</vt:lpstr>
      <vt:lpstr>Graf. Anillas</vt:lpstr>
      <vt:lpstr>Graf. Colum.</vt:lpstr>
      <vt:lpstr>Graf. líneas</vt:lpstr>
      <vt:lpstr>Graf. Barras</vt:lpstr>
      <vt:lpstr>Otros gráficos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BBVA</dc:creator>
  <cp:lastModifiedBy>LADERO SALCEDO ,SUSANA</cp:lastModifiedBy>
  <cp:lastPrinted>2025-05-06T11:57:05Z</cp:lastPrinted>
  <dcterms:created xsi:type="dcterms:W3CDTF">2025-05-26T23:53:49Z</dcterms:created>
  <dcterms:modified xsi:type="dcterms:W3CDTF">2025-05-27T11:31:14Z</dcterms:modified>
</cp:coreProperties>
</file>